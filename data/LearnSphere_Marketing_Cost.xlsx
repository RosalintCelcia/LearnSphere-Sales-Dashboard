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_Power BI Poject\"/>
    </mc:Choice>
  </mc:AlternateContent>
  <xr:revisionPtr revIDLastSave="0" documentId="13_ncr:1_{AFB9411B-9E85-4FA0-842A-50909CD252DD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April'26 Leads-Cost" sheetId="1" r:id="rId1"/>
    <sheet name="PI April Lead-Cost" sheetId="2" r:id="rId2"/>
    <sheet name="May'26 Leads-Cost" sheetId="3" r:id="rId3"/>
    <sheet name="PI May Lead-Cost" sheetId="4" r:id="rId4"/>
    <sheet name="June'26 Leads-Cost" sheetId="5" r:id="rId5"/>
    <sheet name="PI June Lead-Cos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2" i="6" l="1"/>
  <c r="B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U32" i="5"/>
  <c r="T32" i="5"/>
  <c r="R32" i="5"/>
  <c r="Q32" i="5"/>
  <c r="O32" i="5"/>
  <c r="N32" i="5"/>
  <c r="L32" i="5"/>
  <c r="K32" i="5"/>
  <c r="I32" i="5"/>
  <c r="H32" i="5"/>
  <c r="F32" i="5"/>
  <c r="E32" i="5"/>
  <c r="C32" i="5"/>
  <c r="B32" i="5"/>
  <c r="V31" i="5"/>
  <c r="S31" i="5"/>
  <c r="P31" i="5"/>
  <c r="M31" i="5"/>
  <c r="J31" i="5"/>
  <c r="G31" i="5"/>
  <c r="D31" i="5"/>
  <c r="V30" i="5"/>
  <c r="S30" i="5"/>
  <c r="P30" i="5"/>
  <c r="M30" i="5"/>
  <c r="J30" i="5"/>
  <c r="G30" i="5"/>
  <c r="D30" i="5"/>
  <c r="V29" i="5"/>
  <c r="S29" i="5"/>
  <c r="P29" i="5"/>
  <c r="M29" i="5"/>
  <c r="J29" i="5"/>
  <c r="G29" i="5"/>
  <c r="D29" i="5"/>
  <c r="V28" i="5"/>
  <c r="S28" i="5"/>
  <c r="P28" i="5"/>
  <c r="M28" i="5"/>
  <c r="J28" i="5"/>
  <c r="G28" i="5"/>
  <c r="D28" i="5"/>
  <c r="V27" i="5"/>
  <c r="S27" i="5"/>
  <c r="P27" i="5"/>
  <c r="M27" i="5"/>
  <c r="J27" i="5"/>
  <c r="G27" i="5"/>
  <c r="D27" i="5"/>
  <c r="V26" i="5"/>
  <c r="S26" i="5"/>
  <c r="P26" i="5"/>
  <c r="M26" i="5"/>
  <c r="J26" i="5"/>
  <c r="G26" i="5"/>
  <c r="D26" i="5"/>
  <c r="V25" i="5"/>
  <c r="S25" i="5"/>
  <c r="P25" i="5"/>
  <c r="M25" i="5"/>
  <c r="J25" i="5"/>
  <c r="G25" i="5"/>
  <c r="D25" i="5"/>
  <c r="V24" i="5"/>
  <c r="S24" i="5"/>
  <c r="P24" i="5"/>
  <c r="M24" i="5"/>
  <c r="J24" i="5"/>
  <c r="G24" i="5"/>
  <c r="D24" i="5"/>
  <c r="V23" i="5"/>
  <c r="S23" i="5"/>
  <c r="P23" i="5"/>
  <c r="M23" i="5"/>
  <c r="J23" i="5"/>
  <c r="G23" i="5"/>
  <c r="D23" i="5"/>
  <c r="V22" i="5"/>
  <c r="S22" i="5"/>
  <c r="P22" i="5"/>
  <c r="M22" i="5"/>
  <c r="J22" i="5"/>
  <c r="G22" i="5"/>
  <c r="D22" i="5"/>
  <c r="V21" i="5"/>
  <c r="S21" i="5"/>
  <c r="P21" i="5"/>
  <c r="M21" i="5"/>
  <c r="J21" i="5"/>
  <c r="G21" i="5"/>
  <c r="D21" i="5"/>
  <c r="V20" i="5"/>
  <c r="S20" i="5"/>
  <c r="P20" i="5"/>
  <c r="M20" i="5"/>
  <c r="J20" i="5"/>
  <c r="G20" i="5"/>
  <c r="D20" i="5"/>
  <c r="V19" i="5"/>
  <c r="S19" i="5"/>
  <c r="P19" i="5"/>
  <c r="M19" i="5"/>
  <c r="J19" i="5"/>
  <c r="G19" i="5"/>
  <c r="D19" i="5"/>
  <c r="V18" i="5"/>
  <c r="S18" i="5"/>
  <c r="P18" i="5"/>
  <c r="M18" i="5"/>
  <c r="J18" i="5"/>
  <c r="G18" i="5"/>
  <c r="D18" i="5"/>
  <c r="V17" i="5"/>
  <c r="S17" i="5"/>
  <c r="P17" i="5"/>
  <c r="M17" i="5"/>
  <c r="J17" i="5"/>
  <c r="G17" i="5"/>
  <c r="D17" i="5"/>
  <c r="V16" i="5"/>
  <c r="S16" i="5"/>
  <c r="P16" i="5"/>
  <c r="M16" i="5"/>
  <c r="J16" i="5"/>
  <c r="G16" i="5"/>
  <c r="D16" i="5"/>
  <c r="V15" i="5"/>
  <c r="S15" i="5"/>
  <c r="P15" i="5"/>
  <c r="M15" i="5"/>
  <c r="J15" i="5"/>
  <c r="G15" i="5"/>
  <c r="D15" i="5"/>
  <c r="W15" i="5" s="1"/>
  <c r="V14" i="5"/>
  <c r="S14" i="5"/>
  <c r="P14" i="5"/>
  <c r="M14" i="5"/>
  <c r="J14" i="5"/>
  <c r="G14" i="5"/>
  <c r="D14" i="5"/>
  <c r="V13" i="5"/>
  <c r="S13" i="5"/>
  <c r="P13" i="5"/>
  <c r="M13" i="5"/>
  <c r="J13" i="5"/>
  <c r="G13" i="5"/>
  <c r="D13" i="5"/>
  <c r="V12" i="5"/>
  <c r="S12" i="5"/>
  <c r="P12" i="5"/>
  <c r="M12" i="5"/>
  <c r="J12" i="5"/>
  <c r="G12" i="5"/>
  <c r="D12" i="5"/>
  <c r="V11" i="5"/>
  <c r="S11" i="5"/>
  <c r="P11" i="5"/>
  <c r="M11" i="5"/>
  <c r="J11" i="5"/>
  <c r="G11" i="5"/>
  <c r="D11" i="5"/>
  <c r="V10" i="5"/>
  <c r="S10" i="5"/>
  <c r="P10" i="5"/>
  <c r="M10" i="5"/>
  <c r="J10" i="5"/>
  <c r="G10" i="5"/>
  <c r="D10" i="5"/>
  <c r="W10" i="5" s="1"/>
  <c r="V9" i="5"/>
  <c r="S9" i="5"/>
  <c r="P9" i="5"/>
  <c r="M9" i="5"/>
  <c r="J9" i="5"/>
  <c r="G9" i="5"/>
  <c r="D9" i="5"/>
  <c r="V8" i="5"/>
  <c r="S8" i="5"/>
  <c r="P8" i="5"/>
  <c r="M8" i="5"/>
  <c r="J8" i="5"/>
  <c r="G8" i="5"/>
  <c r="D8" i="5"/>
  <c r="V7" i="5"/>
  <c r="S7" i="5"/>
  <c r="P7" i="5"/>
  <c r="M7" i="5"/>
  <c r="J7" i="5"/>
  <c r="G7" i="5"/>
  <c r="D7" i="5"/>
  <c r="V6" i="5"/>
  <c r="S6" i="5"/>
  <c r="P6" i="5"/>
  <c r="M6" i="5"/>
  <c r="J6" i="5"/>
  <c r="G6" i="5"/>
  <c r="D6" i="5"/>
  <c r="V5" i="5"/>
  <c r="S5" i="5"/>
  <c r="P5" i="5"/>
  <c r="M5" i="5"/>
  <c r="J5" i="5"/>
  <c r="G5" i="5"/>
  <c r="D5" i="5"/>
  <c r="V4" i="5"/>
  <c r="S4" i="5"/>
  <c r="P4" i="5"/>
  <c r="M4" i="5"/>
  <c r="J4" i="5"/>
  <c r="G4" i="5"/>
  <c r="D4" i="5"/>
  <c r="V3" i="5"/>
  <c r="S3" i="5"/>
  <c r="P3" i="5"/>
  <c r="M3" i="5"/>
  <c r="J3" i="5"/>
  <c r="G3" i="5"/>
  <c r="D3" i="5"/>
  <c r="V2" i="5"/>
  <c r="S2" i="5"/>
  <c r="P2" i="5"/>
  <c r="M2" i="5"/>
  <c r="J2" i="5"/>
  <c r="G2" i="5"/>
  <c r="D2" i="5"/>
  <c r="C33" i="4"/>
  <c r="B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U33" i="3"/>
  <c r="T33" i="3"/>
  <c r="R33" i="3"/>
  <c r="Q33" i="3"/>
  <c r="O33" i="3"/>
  <c r="N33" i="3"/>
  <c r="L33" i="3"/>
  <c r="K33" i="3"/>
  <c r="I33" i="3"/>
  <c r="H33" i="3"/>
  <c r="F33" i="3"/>
  <c r="E33" i="3"/>
  <c r="C33" i="3"/>
  <c r="B33" i="3"/>
  <c r="V32" i="3"/>
  <c r="S32" i="3"/>
  <c r="P32" i="3"/>
  <c r="M32" i="3"/>
  <c r="J32" i="3"/>
  <c r="G32" i="3"/>
  <c r="D32" i="3"/>
  <c r="V31" i="3"/>
  <c r="S31" i="3"/>
  <c r="P31" i="3"/>
  <c r="M31" i="3"/>
  <c r="J31" i="3"/>
  <c r="G31" i="3"/>
  <c r="D31" i="3"/>
  <c r="V30" i="3"/>
  <c r="S30" i="3"/>
  <c r="P30" i="3"/>
  <c r="M30" i="3"/>
  <c r="J30" i="3"/>
  <c r="G30" i="3"/>
  <c r="D30" i="3"/>
  <c r="V29" i="3"/>
  <c r="S29" i="3"/>
  <c r="P29" i="3"/>
  <c r="M29" i="3"/>
  <c r="J29" i="3"/>
  <c r="G29" i="3"/>
  <c r="D29" i="3"/>
  <c r="V28" i="3"/>
  <c r="S28" i="3"/>
  <c r="P28" i="3"/>
  <c r="M28" i="3"/>
  <c r="J28" i="3"/>
  <c r="G28" i="3"/>
  <c r="D28" i="3"/>
  <c r="V27" i="3"/>
  <c r="S27" i="3"/>
  <c r="P27" i="3"/>
  <c r="M27" i="3"/>
  <c r="J27" i="3"/>
  <c r="G27" i="3"/>
  <c r="D27" i="3"/>
  <c r="V26" i="3"/>
  <c r="S26" i="3"/>
  <c r="P26" i="3"/>
  <c r="M26" i="3"/>
  <c r="J26" i="3"/>
  <c r="G26" i="3"/>
  <c r="D26" i="3"/>
  <c r="V25" i="3"/>
  <c r="S25" i="3"/>
  <c r="P25" i="3"/>
  <c r="M25" i="3"/>
  <c r="J25" i="3"/>
  <c r="G25" i="3"/>
  <c r="D25" i="3"/>
  <c r="V24" i="3"/>
  <c r="S24" i="3"/>
  <c r="P24" i="3"/>
  <c r="M24" i="3"/>
  <c r="J24" i="3"/>
  <c r="G24" i="3"/>
  <c r="D24" i="3"/>
  <c r="V23" i="3"/>
  <c r="S23" i="3"/>
  <c r="P23" i="3"/>
  <c r="M23" i="3"/>
  <c r="J23" i="3"/>
  <c r="G23" i="3"/>
  <c r="D23" i="3"/>
  <c r="V22" i="3"/>
  <c r="S22" i="3"/>
  <c r="P22" i="3"/>
  <c r="M22" i="3"/>
  <c r="J22" i="3"/>
  <c r="G22" i="3"/>
  <c r="D22" i="3"/>
  <c r="V21" i="3"/>
  <c r="S21" i="3"/>
  <c r="P21" i="3"/>
  <c r="M21" i="3"/>
  <c r="J21" i="3"/>
  <c r="G21" i="3"/>
  <c r="D21" i="3"/>
  <c r="V20" i="3"/>
  <c r="S20" i="3"/>
  <c r="P20" i="3"/>
  <c r="M20" i="3"/>
  <c r="J20" i="3"/>
  <c r="G20" i="3"/>
  <c r="D20" i="3"/>
  <c r="V19" i="3"/>
  <c r="S19" i="3"/>
  <c r="P19" i="3"/>
  <c r="M19" i="3"/>
  <c r="J19" i="3"/>
  <c r="G19" i="3"/>
  <c r="D19" i="3"/>
  <c r="V18" i="3"/>
  <c r="S18" i="3"/>
  <c r="P18" i="3"/>
  <c r="M18" i="3"/>
  <c r="J18" i="3"/>
  <c r="G18" i="3"/>
  <c r="D18" i="3"/>
  <c r="V17" i="3"/>
  <c r="S17" i="3"/>
  <c r="P17" i="3"/>
  <c r="M17" i="3"/>
  <c r="J17" i="3"/>
  <c r="G17" i="3"/>
  <c r="D17" i="3"/>
  <c r="V16" i="3"/>
  <c r="S16" i="3"/>
  <c r="P16" i="3"/>
  <c r="M16" i="3"/>
  <c r="J16" i="3"/>
  <c r="G16" i="3"/>
  <c r="D16" i="3"/>
  <c r="V15" i="3"/>
  <c r="S15" i="3"/>
  <c r="P15" i="3"/>
  <c r="M15" i="3"/>
  <c r="J15" i="3"/>
  <c r="G15" i="3"/>
  <c r="D15" i="3"/>
  <c r="V14" i="3"/>
  <c r="S14" i="3"/>
  <c r="P14" i="3"/>
  <c r="M14" i="3"/>
  <c r="J14" i="3"/>
  <c r="G14" i="3"/>
  <c r="D14" i="3"/>
  <c r="W14" i="3" s="1"/>
  <c r="V13" i="3"/>
  <c r="S13" i="3"/>
  <c r="P13" i="3"/>
  <c r="M13" i="3"/>
  <c r="J13" i="3"/>
  <c r="G13" i="3"/>
  <c r="D13" i="3"/>
  <c r="V12" i="3"/>
  <c r="S12" i="3"/>
  <c r="P12" i="3"/>
  <c r="M12" i="3"/>
  <c r="J12" i="3"/>
  <c r="G12" i="3"/>
  <c r="D12" i="3"/>
  <c r="V11" i="3"/>
  <c r="S11" i="3"/>
  <c r="P11" i="3"/>
  <c r="M11" i="3"/>
  <c r="J11" i="3"/>
  <c r="G11" i="3"/>
  <c r="D11" i="3"/>
  <c r="V10" i="3"/>
  <c r="S10" i="3"/>
  <c r="P10" i="3"/>
  <c r="M10" i="3"/>
  <c r="J10" i="3"/>
  <c r="G10" i="3"/>
  <c r="D10" i="3"/>
  <c r="V9" i="3"/>
  <c r="S9" i="3"/>
  <c r="P9" i="3"/>
  <c r="M9" i="3"/>
  <c r="J9" i="3"/>
  <c r="G9" i="3"/>
  <c r="D9" i="3"/>
  <c r="V8" i="3"/>
  <c r="S8" i="3"/>
  <c r="P8" i="3"/>
  <c r="M8" i="3"/>
  <c r="J8" i="3"/>
  <c r="G8" i="3"/>
  <c r="D8" i="3"/>
  <c r="V7" i="3"/>
  <c r="S7" i="3"/>
  <c r="P7" i="3"/>
  <c r="M7" i="3"/>
  <c r="J7" i="3"/>
  <c r="G7" i="3"/>
  <c r="D7" i="3"/>
  <c r="V6" i="3"/>
  <c r="S6" i="3"/>
  <c r="P6" i="3"/>
  <c r="M6" i="3"/>
  <c r="J6" i="3"/>
  <c r="G6" i="3"/>
  <c r="D6" i="3"/>
  <c r="V5" i="3"/>
  <c r="S5" i="3"/>
  <c r="P5" i="3"/>
  <c r="M5" i="3"/>
  <c r="J5" i="3"/>
  <c r="G5" i="3"/>
  <c r="D5" i="3"/>
  <c r="V4" i="3"/>
  <c r="S4" i="3"/>
  <c r="P4" i="3"/>
  <c r="M4" i="3"/>
  <c r="J4" i="3"/>
  <c r="G4" i="3"/>
  <c r="D4" i="3"/>
  <c r="V3" i="3"/>
  <c r="S3" i="3"/>
  <c r="P3" i="3"/>
  <c r="M3" i="3"/>
  <c r="J3" i="3"/>
  <c r="G3" i="3"/>
  <c r="D3" i="3"/>
  <c r="V2" i="3"/>
  <c r="S2" i="3"/>
  <c r="P2" i="3"/>
  <c r="M2" i="3"/>
  <c r="J2" i="3"/>
  <c r="G2" i="3"/>
  <c r="D2" i="3"/>
  <c r="C32" i="2"/>
  <c r="B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U32" i="1"/>
  <c r="T32" i="1"/>
  <c r="R32" i="1"/>
  <c r="Q32" i="1"/>
  <c r="O32" i="1"/>
  <c r="N32" i="1"/>
  <c r="L32" i="1"/>
  <c r="K32" i="1"/>
  <c r="I32" i="1"/>
  <c r="H32" i="1"/>
  <c r="F32" i="1"/>
  <c r="E32" i="1"/>
  <c r="C32" i="1"/>
  <c r="B32" i="1"/>
  <c r="V31" i="1"/>
  <c r="S31" i="1"/>
  <c r="P31" i="1"/>
  <c r="M31" i="1"/>
  <c r="J31" i="1"/>
  <c r="G31" i="1"/>
  <c r="D31" i="1"/>
  <c r="V30" i="1"/>
  <c r="S30" i="1"/>
  <c r="P30" i="1"/>
  <c r="M30" i="1"/>
  <c r="J30" i="1"/>
  <c r="G30" i="1"/>
  <c r="D30" i="1"/>
  <c r="V29" i="1"/>
  <c r="S29" i="1"/>
  <c r="P29" i="1"/>
  <c r="M29" i="1"/>
  <c r="J29" i="1"/>
  <c r="G29" i="1"/>
  <c r="D29" i="1"/>
  <c r="W29" i="1" s="1"/>
  <c r="V28" i="1"/>
  <c r="S28" i="1"/>
  <c r="P28" i="1"/>
  <c r="M28" i="1"/>
  <c r="J28" i="1"/>
  <c r="G28" i="1"/>
  <c r="D28" i="1"/>
  <c r="V27" i="1"/>
  <c r="S27" i="1"/>
  <c r="P27" i="1"/>
  <c r="M27" i="1"/>
  <c r="J27" i="1"/>
  <c r="G27" i="1"/>
  <c r="D27" i="1"/>
  <c r="W27" i="1" s="1"/>
  <c r="V26" i="1"/>
  <c r="S26" i="1"/>
  <c r="P26" i="1"/>
  <c r="M26" i="1"/>
  <c r="J26" i="1"/>
  <c r="G26" i="1"/>
  <c r="D26" i="1"/>
  <c r="V25" i="1"/>
  <c r="S25" i="1"/>
  <c r="P25" i="1"/>
  <c r="M25" i="1"/>
  <c r="J25" i="1"/>
  <c r="G25" i="1"/>
  <c r="D25" i="1"/>
  <c r="V24" i="1"/>
  <c r="S24" i="1"/>
  <c r="P24" i="1"/>
  <c r="M24" i="1"/>
  <c r="J24" i="1"/>
  <c r="G24" i="1"/>
  <c r="D24" i="1"/>
  <c r="V23" i="1"/>
  <c r="S23" i="1"/>
  <c r="P23" i="1"/>
  <c r="M23" i="1"/>
  <c r="J23" i="1"/>
  <c r="G23" i="1"/>
  <c r="D23" i="1"/>
  <c r="V22" i="1"/>
  <c r="S22" i="1"/>
  <c r="P22" i="1"/>
  <c r="M22" i="1"/>
  <c r="J22" i="1"/>
  <c r="G22" i="1"/>
  <c r="D22" i="1"/>
  <c r="V21" i="1"/>
  <c r="S21" i="1"/>
  <c r="P21" i="1"/>
  <c r="M21" i="1"/>
  <c r="J21" i="1"/>
  <c r="G21" i="1"/>
  <c r="D21" i="1"/>
  <c r="V20" i="1"/>
  <c r="S20" i="1"/>
  <c r="P20" i="1"/>
  <c r="M20" i="1"/>
  <c r="J20" i="1"/>
  <c r="G20" i="1"/>
  <c r="D20" i="1"/>
  <c r="W20" i="1" s="1"/>
  <c r="V19" i="1"/>
  <c r="S19" i="1"/>
  <c r="P19" i="1"/>
  <c r="M19" i="1"/>
  <c r="J19" i="1"/>
  <c r="G19" i="1"/>
  <c r="D19" i="1"/>
  <c r="V18" i="1"/>
  <c r="S18" i="1"/>
  <c r="P18" i="1"/>
  <c r="M18" i="1"/>
  <c r="J18" i="1"/>
  <c r="G18" i="1"/>
  <c r="D18" i="1"/>
  <c r="V17" i="1"/>
  <c r="S17" i="1"/>
  <c r="P17" i="1"/>
  <c r="M17" i="1"/>
  <c r="J17" i="1"/>
  <c r="G17" i="1"/>
  <c r="D17" i="1"/>
  <c r="W17" i="1" s="1"/>
  <c r="V16" i="1"/>
  <c r="S16" i="1"/>
  <c r="P16" i="1"/>
  <c r="M16" i="1"/>
  <c r="J16" i="1"/>
  <c r="G16" i="1"/>
  <c r="D16" i="1"/>
  <c r="V15" i="1"/>
  <c r="S15" i="1"/>
  <c r="P15" i="1"/>
  <c r="M15" i="1"/>
  <c r="J15" i="1"/>
  <c r="G15" i="1"/>
  <c r="D15" i="1"/>
  <c r="W15" i="1" s="1"/>
  <c r="V14" i="1"/>
  <c r="S14" i="1"/>
  <c r="P14" i="1"/>
  <c r="M14" i="1"/>
  <c r="J14" i="1"/>
  <c r="G14" i="1"/>
  <c r="D14" i="1"/>
  <c r="V13" i="1"/>
  <c r="S13" i="1"/>
  <c r="P13" i="1"/>
  <c r="M13" i="1"/>
  <c r="J13" i="1"/>
  <c r="G13" i="1"/>
  <c r="D13" i="1"/>
  <c r="V12" i="1"/>
  <c r="S12" i="1"/>
  <c r="P12" i="1"/>
  <c r="M12" i="1"/>
  <c r="J12" i="1"/>
  <c r="G12" i="1"/>
  <c r="D12" i="1"/>
  <c r="V11" i="1"/>
  <c r="S11" i="1"/>
  <c r="P11" i="1"/>
  <c r="M11" i="1"/>
  <c r="J11" i="1"/>
  <c r="G11" i="1"/>
  <c r="D11" i="1"/>
  <c r="V10" i="1"/>
  <c r="S10" i="1"/>
  <c r="P10" i="1"/>
  <c r="M10" i="1"/>
  <c r="J10" i="1"/>
  <c r="G10" i="1"/>
  <c r="D10" i="1"/>
  <c r="V9" i="1"/>
  <c r="S9" i="1"/>
  <c r="P9" i="1"/>
  <c r="M9" i="1"/>
  <c r="J9" i="1"/>
  <c r="G9" i="1"/>
  <c r="D9" i="1"/>
  <c r="V8" i="1"/>
  <c r="S8" i="1"/>
  <c r="P8" i="1"/>
  <c r="M8" i="1"/>
  <c r="J8" i="1"/>
  <c r="G8" i="1"/>
  <c r="D8" i="1"/>
  <c r="W8" i="1" s="1"/>
  <c r="V7" i="1"/>
  <c r="S7" i="1"/>
  <c r="P7" i="1"/>
  <c r="M7" i="1"/>
  <c r="J7" i="1"/>
  <c r="G7" i="1"/>
  <c r="D7" i="1"/>
  <c r="V6" i="1"/>
  <c r="S6" i="1"/>
  <c r="P6" i="1"/>
  <c r="M6" i="1"/>
  <c r="J6" i="1"/>
  <c r="G6" i="1"/>
  <c r="D6" i="1"/>
  <c r="V5" i="1"/>
  <c r="S5" i="1"/>
  <c r="P5" i="1"/>
  <c r="M5" i="1"/>
  <c r="J5" i="1"/>
  <c r="G5" i="1"/>
  <c r="D5" i="1"/>
  <c r="W5" i="1" s="1"/>
  <c r="V4" i="1"/>
  <c r="S4" i="1"/>
  <c r="P4" i="1"/>
  <c r="M4" i="1"/>
  <c r="J4" i="1"/>
  <c r="G4" i="1"/>
  <c r="D4" i="1"/>
  <c r="V3" i="1"/>
  <c r="S3" i="1"/>
  <c r="P3" i="1"/>
  <c r="M3" i="1"/>
  <c r="J3" i="1"/>
  <c r="G3" i="1"/>
  <c r="D3" i="1"/>
  <c r="W3" i="1" s="1"/>
  <c r="V2" i="1"/>
  <c r="S2" i="1"/>
  <c r="S32" i="1" s="1"/>
  <c r="P2" i="1"/>
  <c r="M2" i="1"/>
  <c r="J2" i="1"/>
  <c r="G2" i="1"/>
  <c r="D2" i="1"/>
  <c r="W11" i="3" l="1"/>
  <c r="W23" i="3"/>
  <c r="W26" i="3"/>
  <c r="D32" i="6"/>
  <c r="W31" i="5"/>
  <c r="W12" i="5"/>
  <c r="W24" i="5"/>
  <c r="W27" i="5"/>
  <c r="W28" i="5"/>
  <c r="D32" i="5"/>
  <c r="W8" i="5"/>
  <c r="W7" i="5"/>
  <c r="W9" i="5"/>
  <c r="W25" i="5"/>
  <c r="W4" i="5"/>
  <c r="W13" i="5"/>
  <c r="W5" i="5"/>
  <c r="W22" i="5"/>
  <c r="J32" i="5"/>
  <c r="W20" i="5"/>
  <c r="W29" i="5"/>
  <c r="P32" i="5"/>
  <c r="W19" i="5"/>
  <c r="W21" i="5"/>
  <c r="W6" i="5"/>
  <c r="W26" i="5"/>
  <c r="M32" i="5"/>
  <c r="S32" i="5"/>
  <c r="V32" i="5"/>
  <c r="W3" i="5"/>
  <c r="W16" i="5"/>
  <c r="W18" i="5"/>
  <c r="W17" i="5"/>
  <c r="G32" i="5"/>
  <c r="W11" i="5"/>
  <c r="W23" i="5"/>
  <c r="W30" i="5"/>
  <c r="W14" i="5"/>
  <c r="D33" i="4"/>
  <c r="W3" i="3"/>
  <c r="P33" i="3"/>
  <c r="D33" i="3"/>
  <c r="W12" i="3"/>
  <c r="M33" i="3"/>
  <c r="W7" i="3"/>
  <c r="W31" i="3"/>
  <c r="W4" i="3"/>
  <c r="W20" i="3"/>
  <c r="W6" i="3"/>
  <c r="W13" i="3"/>
  <c r="W18" i="3"/>
  <c r="W25" i="3"/>
  <c r="W30" i="3"/>
  <c r="G33" i="3"/>
  <c r="W9" i="3"/>
  <c r="W21" i="3"/>
  <c r="W8" i="3"/>
  <c r="J33" i="3"/>
  <c r="W19" i="3"/>
  <c r="W28" i="3"/>
  <c r="W32" i="3"/>
  <c r="W5" i="3"/>
  <c r="W17" i="3"/>
  <c r="W29" i="3"/>
  <c r="W10" i="3"/>
  <c r="W15" i="3"/>
  <c r="W22" i="3"/>
  <c r="W27" i="3"/>
  <c r="W24" i="3"/>
  <c r="W16" i="3"/>
  <c r="V33" i="3"/>
  <c r="W2" i="3"/>
  <c r="S33" i="3"/>
  <c r="D32" i="2"/>
  <c r="W12" i="1"/>
  <c r="W24" i="1"/>
  <c r="W13" i="1"/>
  <c r="D32" i="1"/>
  <c r="W19" i="1"/>
  <c r="W26" i="1"/>
  <c r="W31" i="1"/>
  <c r="V32" i="1"/>
  <c r="W7" i="1"/>
  <c r="W9" i="1"/>
  <c r="W21" i="1"/>
  <c r="W25" i="1"/>
  <c r="W22" i="1"/>
  <c r="M32" i="1"/>
  <c r="W14" i="1"/>
  <c r="G32" i="1"/>
  <c r="J32" i="1"/>
  <c r="W4" i="1"/>
  <c r="W11" i="1"/>
  <c r="W16" i="1"/>
  <c r="W23" i="1"/>
  <c r="W28" i="1"/>
  <c r="W10" i="1"/>
  <c r="P32" i="1"/>
  <c r="W6" i="1"/>
  <c r="W18" i="1"/>
  <c r="W30" i="1"/>
  <c r="W2" i="5"/>
  <c r="W2" i="1"/>
  <c r="W32" i="5" l="1"/>
  <c r="W33" i="3"/>
  <c r="W32" i="1"/>
</calcChain>
</file>

<file path=xl/sharedStrings.xml><?xml version="1.0" encoding="utf-8"?>
<sst xmlns="http://schemas.openxmlformats.org/spreadsheetml/2006/main" count="269" uniqueCount="117">
  <si>
    <t>Date</t>
  </si>
  <si>
    <t>DA Meta Spent</t>
  </si>
  <si>
    <t>DA Google Spent</t>
  </si>
  <si>
    <t>DA Total Spent</t>
  </si>
  <si>
    <t>BA Meta Spent</t>
  </si>
  <si>
    <t>BA Google Spent</t>
  </si>
  <si>
    <t>BA Total Spent</t>
  </si>
  <si>
    <t>DS Meta Spent</t>
  </si>
  <si>
    <t>DS Google Spent</t>
  </si>
  <si>
    <t>DS Total Spent</t>
  </si>
  <si>
    <t>DM Meta Spent</t>
  </si>
  <si>
    <t>DM Google Spent</t>
  </si>
  <si>
    <t>DM Total Spent</t>
  </si>
  <si>
    <t>Gen AI Meta Spent</t>
  </si>
  <si>
    <t>Gen AI Google Spent</t>
  </si>
  <si>
    <t>Gen AI Total Spent</t>
  </si>
  <si>
    <t>CS Meta Spent</t>
  </si>
  <si>
    <t>CS Google Spent</t>
  </si>
  <si>
    <t>CS Total Spent</t>
  </si>
  <si>
    <t>AI/ML Meta Spent</t>
  </si>
  <si>
    <t>AI/ML Google Spent</t>
  </si>
  <si>
    <t>AI/ML Total Spent</t>
  </si>
  <si>
    <t>Overall Total Spent</t>
  </si>
  <si>
    <t>01-Apr-2026</t>
  </si>
  <si>
    <t>02-Apr-2026</t>
  </si>
  <si>
    <t>03-Apr-2026</t>
  </si>
  <si>
    <t>04-Apr-2026</t>
  </si>
  <si>
    <t>05-Apr-2026</t>
  </si>
  <si>
    <t>06-Apr-2026</t>
  </si>
  <si>
    <t>07-Apr-2026</t>
  </si>
  <si>
    <t>08-Apr-2026</t>
  </si>
  <si>
    <t>09-Apr-2026</t>
  </si>
  <si>
    <t>10-Apr-2026</t>
  </si>
  <si>
    <t>11-Apr-2026</t>
  </si>
  <si>
    <t>12-Apr-2026</t>
  </si>
  <si>
    <t>13-Apr-2026</t>
  </si>
  <si>
    <t>14-Apr-2026</t>
  </si>
  <si>
    <t>15-Apr-2026</t>
  </si>
  <si>
    <t>16-Apr-2026</t>
  </si>
  <si>
    <t>17-Apr-2026</t>
  </si>
  <si>
    <t>18-Apr-2026</t>
  </si>
  <si>
    <t>19-Apr-2026</t>
  </si>
  <si>
    <t>20-Apr-2026</t>
  </si>
  <si>
    <t>21-Apr-2026</t>
  </si>
  <si>
    <t>22-Apr-2026</t>
  </si>
  <si>
    <t>23-Apr-2026</t>
  </si>
  <si>
    <t>24-Apr-2026</t>
  </si>
  <si>
    <t>25-Apr-2026</t>
  </si>
  <si>
    <t>26-Apr-2026</t>
  </si>
  <si>
    <t>27-Apr-2026</t>
  </si>
  <si>
    <t>28-Apr-2026</t>
  </si>
  <si>
    <t>29-Apr-2026</t>
  </si>
  <si>
    <t>30-Apr-2026</t>
  </si>
  <si>
    <t>Monthly Total</t>
  </si>
  <si>
    <t>Meta Spent</t>
  </si>
  <si>
    <t>Google Spent</t>
  </si>
  <si>
    <t>01-May-2026</t>
  </si>
  <si>
    <t>02-May-2026</t>
  </si>
  <si>
    <t>03-May-2026</t>
  </si>
  <si>
    <t>04-May-2026</t>
  </si>
  <si>
    <t>05-May-2026</t>
  </si>
  <si>
    <t>06-May-2026</t>
  </si>
  <si>
    <t>07-May-2026</t>
  </si>
  <si>
    <t>08-May-2026</t>
  </si>
  <si>
    <t>09-May-2026</t>
  </si>
  <si>
    <t>10-May-2026</t>
  </si>
  <si>
    <t>11-May-2026</t>
  </si>
  <si>
    <t>12-May-2026</t>
  </si>
  <si>
    <t>13-May-2026</t>
  </si>
  <si>
    <t>14-May-2026</t>
  </si>
  <si>
    <t>15-May-2026</t>
  </si>
  <si>
    <t>16-May-2026</t>
  </si>
  <si>
    <t>17-May-2026</t>
  </si>
  <si>
    <t>18-May-2026</t>
  </si>
  <si>
    <t>19-May-2026</t>
  </si>
  <si>
    <t>20-May-2026</t>
  </si>
  <si>
    <t>21-May-2026</t>
  </si>
  <si>
    <t>22-May-2026</t>
  </si>
  <si>
    <t>23-May-2026</t>
  </si>
  <si>
    <t>24-May-2026</t>
  </si>
  <si>
    <t>25-May-2026</t>
  </si>
  <si>
    <t>26-May-2026</t>
  </si>
  <si>
    <t>27-May-2026</t>
  </si>
  <si>
    <t>28-May-2026</t>
  </si>
  <si>
    <t>29-May-2026</t>
  </si>
  <si>
    <t>30-May-2026</t>
  </si>
  <si>
    <t>31-May-2026</t>
  </si>
  <si>
    <t>01-Jun-2026</t>
  </si>
  <si>
    <t>02-Jun-2026</t>
  </si>
  <si>
    <t>03-Jun-2026</t>
  </si>
  <si>
    <t>04-Jun-2026</t>
  </si>
  <si>
    <t>05-Jun-2026</t>
  </si>
  <si>
    <t>06-Jun-2026</t>
  </si>
  <si>
    <t>07-Jun-2026</t>
  </si>
  <si>
    <t>08-Jun-2026</t>
  </si>
  <si>
    <t>09-Jun-2026</t>
  </si>
  <si>
    <t>10-Jun-2026</t>
  </si>
  <si>
    <t>11-Jun-2026</t>
  </si>
  <si>
    <t>12-Jun-2026</t>
  </si>
  <si>
    <t>13-Jun-2026</t>
  </si>
  <si>
    <t>14-Jun-2026</t>
  </si>
  <si>
    <t>15-Jun-2026</t>
  </si>
  <si>
    <t>16-Jun-2026</t>
  </si>
  <si>
    <t>17-Jun-2026</t>
  </si>
  <si>
    <t>18-Jun-2026</t>
  </si>
  <si>
    <t>19-Jun-2026</t>
  </si>
  <si>
    <t>20-Jun-2026</t>
  </si>
  <si>
    <t>21-Jun-2026</t>
  </si>
  <si>
    <t>22-Jun-2026</t>
  </si>
  <si>
    <t>23-Jun-2026</t>
  </si>
  <si>
    <t>24-Jun-2026</t>
  </si>
  <si>
    <t>25-Jun-2026</t>
  </si>
  <si>
    <t>26-Jun-2026</t>
  </si>
  <si>
    <t>27-Jun-2026</t>
  </si>
  <si>
    <t>28-Jun-2026</t>
  </si>
  <si>
    <t>29-Jun-2026</t>
  </si>
  <si>
    <t>30-Jun-2026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</si>
</sst>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BAE6FD"/>
      <name val="Arial"/>
      <family val="2"/>
    </font>
    <font>
      <b/>
      <sz val="10"/>
      <color rgb="FFBBF7D0"/>
      <name val="Arial"/>
      <family val="2"/>
    </font>
    <font>
      <b/>
      <sz val="10"/>
      <color rgb="FFFDE68A"/>
      <name val="Arial"/>
      <family val="2"/>
    </font>
    <font>
      <b/>
      <sz val="10"/>
      <color rgb="FFF97316"/>
      <name val="Arial"/>
      <family val="2"/>
    </font>
    <font>
      <sz val="10"/>
      <color rgb="FFD1FAE5"/>
      <name val="Arial"/>
      <family val="2"/>
    </font>
    <font>
      <sz val="10"/>
      <color rgb="FFBAE6FD"/>
      <name val="Arial"/>
      <family val="2"/>
    </font>
    <font>
      <sz val="10"/>
      <color rgb="FFBBF7D0"/>
      <name val="Arial"/>
      <family val="2"/>
    </font>
    <font>
      <sz val="10"/>
      <color rgb="FFFDE68A"/>
      <name val="Arial"/>
      <family val="2"/>
    </font>
    <font>
      <b/>
      <sz val="10"/>
      <color rgb="FF6EE7B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2D3748"/>
      </patternFill>
    </fill>
    <fill>
      <patternFill patternType="solid">
        <fgColor rgb="FF1E3A5F"/>
        <bgColor rgb="FF2D3748"/>
      </patternFill>
    </fill>
    <fill>
      <patternFill patternType="solid">
        <fgColor rgb="FF1E4976"/>
        <bgColor rgb="FF1E3A5F"/>
      </patternFill>
    </fill>
    <fill>
      <patternFill patternType="solid">
        <fgColor rgb="FF14532D"/>
        <bgColor rgb="FF064E3B"/>
      </patternFill>
    </fill>
    <fill>
      <patternFill patternType="solid">
        <fgColor rgb="FF4C1D95"/>
        <bgColor rgb="FF660066"/>
      </patternFill>
    </fill>
    <fill>
      <patternFill patternType="solid">
        <fgColor rgb="FF7C2D12"/>
        <bgColor rgb="FF993366"/>
      </patternFill>
    </fill>
    <fill>
      <patternFill patternType="solid">
        <fgColor rgb="FF111827"/>
        <bgColor rgb="FF1F2937"/>
      </patternFill>
    </fill>
    <fill>
      <patternFill patternType="solid">
        <fgColor rgb="FF064E3B"/>
        <bgColor rgb="FF14532D"/>
      </patternFill>
    </fill>
  </fills>
  <borders count="2">
    <border>
      <left/>
      <right/>
      <top/>
      <bottom/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2"/>
    </xf>
    <xf numFmtId="4" fontId="7" fillId="8" borderId="1" xfId="0" applyNumberFormat="1" applyFont="1" applyFill="1" applyBorder="1" applyAlignment="1">
      <alignment horizontal="center" vertical="center"/>
    </xf>
    <xf numFmtId="4" fontId="8" fillId="8" borderId="1" xfId="0" applyNumberFormat="1" applyFont="1" applyFill="1" applyBorder="1" applyAlignment="1">
      <alignment horizontal="center" vertical="center"/>
    </xf>
    <xf numFmtId="4" fontId="9" fillId="8" borderId="1" xfId="0" applyNumberFormat="1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2"/>
    </xf>
    <xf numFmtId="4" fontId="7" fillId="2" borderId="1" xfId="0" applyNumberFormat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 indent="2"/>
    </xf>
    <xf numFmtId="4" fontId="2" fillId="9" borderId="1" xfId="0" applyNumberFormat="1" applyFont="1" applyFill="1" applyBorder="1" applyAlignment="1">
      <alignment horizontal="center" vertical="center"/>
    </xf>
    <xf numFmtId="4" fontId="3" fillId="9" borderId="1" xfId="0" applyNumberFormat="1" applyFont="1" applyFill="1" applyBorder="1" applyAlignment="1">
      <alignment horizontal="center" vertical="center"/>
    </xf>
    <xf numFmtId="4" fontId="4" fillId="9" borderId="1" xfId="0" applyNumberFormat="1" applyFont="1" applyFill="1" applyBorder="1" applyAlignment="1">
      <alignment horizontal="center" vertical="center"/>
    </xf>
    <xf numFmtId="4" fontId="5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32D"/>
      <rgbColor rgb="FF000080"/>
      <rgbColor rgb="FF808000"/>
      <rgbColor rgb="FF800080"/>
      <rgbColor rgb="FF064E3B"/>
      <rgbColor rgb="FFC0C0C0"/>
      <rgbColor rgb="FF808080"/>
      <rgbColor rgb="FF9999FF"/>
      <rgbColor rgb="FF993366"/>
      <rgbColor rgb="FFFFFFCC"/>
      <rgbColor rgb="FFBBF7D0"/>
      <rgbColor rgb="FF660066"/>
      <rgbColor rgb="FFFF8080"/>
      <rgbColor rgb="FF1E49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AE6FD"/>
      <rgbColor rgb="FFD1FAE5"/>
      <rgbColor rgb="FFFDE68A"/>
      <rgbColor rgb="FF99CCFF"/>
      <rgbColor rgb="FFFF99CC"/>
      <rgbColor rgb="FFCC99FF"/>
      <rgbColor rgb="FFFFCC99"/>
      <rgbColor rgb="FF3366FF"/>
      <rgbColor rgb="FF6EE7B7"/>
      <rgbColor rgb="FF99CC00"/>
      <rgbColor rgb="FFFFCC00"/>
      <rgbColor rgb="FFFF9900"/>
      <rgbColor rgb="FFF97316"/>
      <rgbColor rgb="FF666699"/>
      <rgbColor rgb="FF9CA3AF"/>
      <rgbColor rgb="FF1E3A5F"/>
      <rgbColor rgb="FF339966"/>
      <rgbColor rgb="FF111827"/>
      <rgbColor rgb="FF1F2937"/>
      <rgbColor rgb="FF7C2D12"/>
      <rgbColor rgb="FF993366"/>
      <rgbColor rgb="FF4C1D95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showGridLines="0" zoomScaleNormal="100" workbookViewId="0">
      <pane xSplit="1" ySplit="1" topLeftCell="G2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8.6640625" defaultRowHeight="14.4" x14ac:dyDescent="0.3"/>
  <cols>
    <col min="1" max="1" width="16" customWidth="1"/>
    <col min="2" max="23" width="18" customWidth="1"/>
  </cols>
  <sheetData>
    <row r="1" spans="1:23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4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4" t="s">
        <v>18</v>
      </c>
      <c r="T1" s="2" t="s">
        <v>19</v>
      </c>
      <c r="U1" s="3" t="s">
        <v>20</v>
      </c>
      <c r="V1" s="4" t="s">
        <v>21</v>
      </c>
      <c r="W1" s="5" t="s">
        <v>22</v>
      </c>
    </row>
    <row r="2" spans="1:23" ht="18" customHeight="1" x14ac:dyDescent="0.3">
      <c r="A2" s="6" t="s">
        <v>23</v>
      </c>
      <c r="B2" s="7">
        <v>75850.44</v>
      </c>
      <c r="C2" s="8">
        <v>29774.29</v>
      </c>
      <c r="D2" s="9">
        <f t="shared" ref="D2:D31" si="0">B2+C2</f>
        <v>105624.73000000001</v>
      </c>
      <c r="E2" s="7">
        <v>8842.7800000000007</v>
      </c>
      <c r="F2" s="8">
        <v>3113.9</v>
      </c>
      <c r="G2" s="9">
        <f t="shared" ref="G2:G31" si="1">E2+F2</f>
        <v>11956.68</v>
      </c>
      <c r="H2" s="7">
        <v>9954.7800000000007</v>
      </c>
      <c r="I2" s="8">
        <v>0</v>
      </c>
      <c r="J2" s="9">
        <f t="shared" ref="J2:J31" si="2">H2+I2</f>
        <v>9954.7800000000007</v>
      </c>
      <c r="K2" s="7">
        <v>14430.23</v>
      </c>
      <c r="L2" s="8">
        <v>7740.25</v>
      </c>
      <c r="M2" s="9">
        <f t="shared" ref="M2:M31" si="3">K2+L2</f>
        <v>22170.48</v>
      </c>
      <c r="N2" s="7">
        <v>16267.86</v>
      </c>
      <c r="O2" s="8">
        <v>0</v>
      </c>
      <c r="P2" s="9">
        <f t="shared" ref="P2:P31" si="4">N2+O2</f>
        <v>16267.86</v>
      </c>
      <c r="Q2" s="7">
        <v>5972.6</v>
      </c>
      <c r="R2" s="8">
        <v>2916.82</v>
      </c>
      <c r="S2" s="9">
        <f t="shared" ref="S2:S31" si="5">Q2+R2</f>
        <v>8889.42</v>
      </c>
      <c r="T2" s="7">
        <v>0</v>
      </c>
      <c r="U2" s="8">
        <v>4496.03</v>
      </c>
      <c r="V2" s="9">
        <f t="shared" ref="V2:V31" si="6">T2+U2</f>
        <v>4496.03</v>
      </c>
      <c r="W2" s="10">
        <f t="shared" ref="W2:W31" si="7">D2+G2+J2+M2+P2+S2+V2</f>
        <v>179359.98000000004</v>
      </c>
    </row>
    <row r="3" spans="1:23" ht="18" customHeight="1" x14ac:dyDescent="0.3">
      <c r="A3" s="11" t="s">
        <v>24</v>
      </c>
      <c r="B3" s="12">
        <v>82552.2</v>
      </c>
      <c r="C3" s="13">
        <v>26271.98</v>
      </c>
      <c r="D3" s="14">
        <f t="shared" si="0"/>
        <v>108824.18</v>
      </c>
      <c r="E3" s="12">
        <v>6919.65</v>
      </c>
      <c r="F3" s="13">
        <v>3047.69</v>
      </c>
      <c r="G3" s="14">
        <f t="shared" si="1"/>
        <v>9967.34</v>
      </c>
      <c r="H3" s="12">
        <v>10377.969999999999</v>
      </c>
      <c r="I3" s="13">
        <v>5678.64</v>
      </c>
      <c r="J3" s="14">
        <f t="shared" si="2"/>
        <v>16056.61</v>
      </c>
      <c r="K3" s="12">
        <v>0</v>
      </c>
      <c r="L3" s="13">
        <v>6331.86</v>
      </c>
      <c r="M3" s="14">
        <f t="shared" si="3"/>
        <v>6331.86</v>
      </c>
      <c r="N3" s="12">
        <v>16111.48</v>
      </c>
      <c r="O3" s="13">
        <v>10276.450000000001</v>
      </c>
      <c r="P3" s="14">
        <f t="shared" si="4"/>
        <v>26387.93</v>
      </c>
      <c r="Q3" s="12">
        <v>6020.33</v>
      </c>
      <c r="R3" s="13">
        <v>3031.6</v>
      </c>
      <c r="S3" s="14">
        <f t="shared" si="5"/>
        <v>9051.93</v>
      </c>
      <c r="T3" s="12">
        <v>8923.2900000000009</v>
      </c>
      <c r="U3" s="13">
        <v>4015.75</v>
      </c>
      <c r="V3" s="14">
        <f t="shared" si="6"/>
        <v>12939.04</v>
      </c>
      <c r="W3" s="15">
        <f t="shared" si="7"/>
        <v>189558.88999999998</v>
      </c>
    </row>
    <row r="4" spans="1:23" ht="18" customHeight="1" x14ac:dyDescent="0.3">
      <c r="A4" s="6" t="s">
        <v>25</v>
      </c>
      <c r="B4" s="7">
        <v>80906.03</v>
      </c>
      <c r="C4" s="8">
        <v>28544.38</v>
      </c>
      <c r="D4" s="9">
        <f t="shared" si="0"/>
        <v>109450.41</v>
      </c>
      <c r="E4" s="7">
        <v>7671.04</v>
      </c>
      <c r="F4" s="8">
        <v>2973.44</v>
      </c>
      <c r="G4" s="9">
        <f t="shared" si="1"/>
        <v>10644.48</v>
      </c>
      <c r="H4" s="7">
        <v>0</v>
      </c>
      <c r="I4" s="8">
        <v>6902.49</v>
      </c>
      <c r="J4" s="9">
        <f t="shared" si="2"/>
        <v>6902.49</v>
      </c>
      <c r="K4" s="7">
        <v>13979.89</v>
      </c>
      <c r="L4" s="8">
        <v>7127.09</v>
      </c>
      <c r="M4" s="9">
        <f t="shared" si="3"/>
        <v>21106.98</v>
      </c>
      <c r="N4" s="7">
        <v>16198.77</v>
      </c>
      <c r="O4" s="8">
        <v>9183.02</v>
      </c>
      <c r="P4" s="9">
        <f t="shared" si="4"/>
        <v>25381.79</v>
      </c>
      <c r="Q4" s="7">
        <v>4867.74</v>
      </c>
      <c r="R4" s="8">
        <v>2646.99</v>
      </c>
      <c r="S4" s="9">
        <f t="shared" si="5"/>
        <v>7514.73</v>
      </c>
      <c r="T4" s="7">
        <v>8503.0300000000007</v>
      </c>
      <c r="U4" s="8">
        <v>4186.71</v>
      </c>
      <c r="V4" s="9">
        <f t="shared" si="6"/>
        <v>12689.740000000002</v>
      </c>
      <c r="W4" s="10">
        <f t="shared" si="7"/>
        <v>193690.62000000002</v>
      </c>
    </row>
    <row r="5" spans="1:23" ht="18" customHeight="1" x14ac:dyDescent="0.3">
      <c r="A5" s="11" t="s">
        <v>26</v>
      </c>
      <c r="B5" s="12">
        <v>59897.86</v>
      </c>
      <c r="C5" s="13">
        <v>32991.800000000003</v>
      </c>
      <c r="D5" s="14">
        <f t="shared" si="0"/>
        <v>92889.66</v>
      </c>
      <c r="E5" s="12">
        <v>8528.0499999999993</v>
      </c>
      <c r="F5" s="13">
        <v>3544.95</v>
      </c>
      <c r="G5" s="14">
        <f t="shared" si="1"/>
        <v>12073</v>
      </c>
      <c r="H5" s="12">
        <v>10631.78</v>
      </c>
      <c r="I5" s="13">
        <v>7463.13</v>
      </c>
      <c r="J5" s="14">
        <f t="shared" si="2"/>
        <v>18094.91</v>
      </c>
      <c r="K5" s="12">
        <v>15931.18</v>
      </c>
      <c r="L5" s="13">
        <v>6686.41</v>
      </c>
      <c r="M5" s="14">
        <f t="shared" si="3"/>
        <v>22617.59</v>
      </c>
      <c r="N5" s="12">
        <v>20437.419999999998</v>
      </c>
      <c r="O5" s="13">
        <v>7604.65</v>
      </c>
      <c r="P5" s="14">
        <f t="shared" si="4"/>
        <v>28042.07</v>
      </c>
      <c r="Q5" s="12">
        <v>6042.35</v>
      </c>
      <c r="R5" s="13">
        <v>3139.69</v>
      </c>
      <c r="S5" s="14">
        <f t="shared" si="5"/>
        <v>9182.0400000000009</v>
      </c>
      <c r="T5" s="12">
        <v>8215.84</v>
      </c>
      <c r="U5" s="13">
        <v>4369.67</v>
      </c>
      <c r="V5" s="14">
        <f t="shared" si="6"/>
        <v>12585.51</v>
      </c>
      <c r="W5" s="15">
        <f t="shared" si="7"/>
        <v>195484.78000000003</v>
      </c>
    </row>
    <row r="6" spans="1:23" ht="18" customHeight="1" x14ac:dyDescent="0.3">
      <c r="A6" s="6" t="s">
        <v>27</v>
      </c>
      <c r="B6" s="7">
        <v>59995.17</v>
      </c>
      <c r="C6" s="8">
        <v>34310.769999999997</v>
      </c>
      <c r="D6" s="9">
        <f t="shared" si="0"/>
        <v>94305.94</v>
      </c>
      <c r="E6" s="7">
        <v>8708.0400000000009</v>
      </c>
      <c r="F6" s="8">
        <v>2823.47</v>
      </c>
      <c r="G6" s="9">
        <f t="shared" si="1"/>
        <v>11531.51</v>
      </c>
      <c r="H6" s="7">
        <v>11101.49</v>
      </c>
      <c r="I6" s="8">
        <v>5313.2</v>
      </c>
      <c r="J6" s="9">
        <f t="shared" si="2"/>
        <v>16414.689999999999</v>
      </c>
      <c r="K6" s="7">
        <v>15704.85</v>
      </c>
      <c r="L6" s="8">
        <v>7961.26</v>
      </c>
      <c r="M6" s="9">
        <f t="shared" si="3"/>
        <v>23666.11</v>
      </c>
      <c r="N6" s="7">
        <v>17521.009999999998</v>
      </c>
      <c r="O6" s="8">
        <v>10131.870000000001</v>
      </c>
      <c r="P6" s="9">
        <f t="shared" si="4"/>
        <v>27652.879999999997</v>
      </c>
      <c r="Q6" s="7">
        <v>5567.98</v>
      </c>
      <c r="R6" s="8">
        <v>3070.4</v>
      </c>
      <c r="S6" s="9">
        <f t="shared" si="5"/>
        <v>8638.3799999999992</v>
      </c>
      <c r="T6" s="7">
        <v>0</v>
      </c>
      <c r="U6" s="8">
        <v>5235.4399999999996</v>
      </c>
      <c r="V6" s="9">
        <f t="shared" si="6"/>
        <v>5235.4399999999996</v>
      </c>
      <c r="W6" s="10">
        <f t="shared" si="7"/>
        <v>187444.95</v>
      </c>
    </row>
    <row r="7" spans="1:23" ht="18" customHeight="1" x14ac:dyDescent="0.3">
      <c r="A7" s="11" t="s">
        <v>28</v>
      </c>
      <c r="B7" s="12">
        <v>0</v>
      </c>
      <c r="C7" s="13">
        <v>31553.68</v>
      </c>
      <c r="D7" s="14">
        <f t="shared" si="0"/>
        <v>31553.68</v>
      </c>
      <c r="E7" s="12">
        <v>8242.9</v>
      </c>
      <c r="F7" s="13">
        <v>2994.66</v>
      </c>
      <c r="G7" s="14">
        <f t="shared" si="1"/>
        <v>11237.56</v>
      </c>
      <c r="H7" s="12">
        <v>12606.2</v>
      </c>
      <c r="I7" s="13">
        <v>5466.51</v>
      </c>
      <c r="J7" s="14">
        <f t="shared" si="2"/>
        <v>18072.71</v>
      </c>
      <c r="K7" s="12">
        <v>11607.6</v>
      </c>
      <c r="L7" s="13">
        <v>6094.88</v>
      </c>
      <c r="M7" s="14">
        <f t="shared" si="3"/>
        <v>17702.48</v>
      </c>
      <c r="N7" s="12">
        <v>19006.490000000002</v>
      </c>
      <c r="O7" s="13">
        <v>9125.25</v>
      </c>
      <c r="P7" s="14">
        <f t="shared" si="4"/>
        <v>28131.74</v>
      </c>
      <c r="Q7" s="12">
        <v>5487.86</v>
      </c>
      <c r="R7" s="13">
        <v>2463.41</v>
      </c>
      <c r="S7" s="14">
        <f t="shared" si="5"/>
        <v>7951.2699999999995</v>
      </c>
      <c r="T7" s="12">
        <v>8604.11</v>
      </c>
      <c r="U7" s="13">
        <v>4581.0600000000004</v>
      </c>
      <c r="V7" s="14">
        <f t="shared" si="6"/>
        <v>13185.170000000002</v>
      </c>
      <c r="W7" s="15">
        <f t="shared" si="7"/>
        <v>127834.61</v>
      </c>
    </row>
    <row r="8" spans="1:23" ht="18" customHeight="1" x14ac:dyDescent="0.3">
      <c r="A8" s="6" t="s">
        <v>29</v>
      </c>
      <c r="B8" s="7">
        <v>0</v>
      </c>
      <c r="C8" s="8">
        <v>34037.79</v>
      </c>
      <c r="D8" s="9">
        <f t="shared" si="0"/>
        <v>34037.79</v>
      </c>
      <c r="E8" s="7">
        <v>8837.2900000000009</v>
      </c>
      <c r="F8" s="8">
        <v>0</v>
      </c>
      <c r="G8" s="9">
        <f t="shared" si="1"/>
        <v>8837.2900000000009</v>
      </c>
      <c r="H8" s="7">
        <v>9271.43</v>
      </c>
      <c r="I8" s="8">
        <v>5651.88</v>
      </c>
      <c r="J8" s="9">
        <f t="shared" si="2"/>
        <v>14923.310000000001</v>
      </c>
      <c r="K8" s="7">
        <v>12754.65</v>
      </c>
      <c r="L8" s="8">
        <v>6530.32</v>
      </c>
      <c r="M8" s="9">
        <f t="shared" si="3"/>
        <v>19284.97</v>
      </c>
      <c r="N8" s="7">
        <v>0</v>
      </c>
      <c r="O8" s="8">
        <v>8382.49</v>
      </c>
      <c r="P8" s="9">
        <f t="shared" si="4"/>
        <v>8382.49</v>
      </c>
      <c r="Q8" s="7">
        <v>5094.1499999999996</v>
      </c>
      <c r="R8" s="8">
        <v>2849.73</v>
      </c>
      <c r="S8" s="9">
        <f t="shared" si="5"/>
        <v>7943.8799999999992</v>
      </c>
      <c r="T8" s="7">
        <v>7699.35</v>
      </c>
      <c r="U8" s="8">
        <v>4513.3</v>
      </c>
      <c r="V8" s="9">
        <f t="shared" si="6"/>
        <v>12212.650000000001</v>
      </c>
      <c r="W8" s="10">
        <f t="shared" si="7"/>
        <v>105622.38</v>
      </c>
    </row>
    <row r="9" spans="1:23" ht="18" customHeight="1" x14ac:dyDescent="0.3">
      <c r="A9" s="11" t="s">
        <v>30</v>
      </c>
      <c r="B9" s="12">
        <v>82939.37</v>
      </c>
      <c r="C9" s="13">
        <v>32154.02</v>
      </c>
      <c r="D9" s="14">
        <f t="shared" si="0"/>
        <v>115093.39</v>
      </c>
      <c r="E9" s="12">
        <v>8174.75</v>
      </c>
      <c r="F9" s="13">
        <v>3451.19</v>
      </c>
      <c r="G9" s="14">
        <f t="shared" si="1"/>
        <v>11625.94</v>
      </c>
      <c r="H9" s="12">
        <v>10426.69</v>
      </c>
      <c r="I9" s="13">
        <v>7536.37</v>
      </c>
      <c r="J9" s="14">
        <f t="shared" si="2"/>
        <v>17963.060000000001</v>
      </c>
      <c r="K9" s="12">
        <v>11863.58</v>
      </c>
      <c r="L9" s="13">
        <v>7792.11</v>
      </c>
      <c r="M9" s="14">
        <f t="shared" si="3"/>
        <v>19655.689999999999</v>
      </c>
      <c r="N9" s="12">
        <v>17663.419999999998</v>
      </c>
      <c r="O9" s="13">
        <v>7444.08</v>
      </c>
      <c r="P9" s="14">
        <f t="shared" si="4"/>
        <v>25107.5</v>
      </c>
      <c r="Q9" s="12">
        <v>5386.42</v>
      </c>
      <c r="R9" s="13">
        <v>2688.52</v>
      </c>
      <c r="S9" s="14">
        <f t="shared" si="5"/>
        <v>8074.9400000000005</v>
      </c>
      <c r="T9" s="12">
        <v>8110.57</v>
      </c>
      <c r="U9" s="13">
        <v>0</v>
      </c>
      <c r="V9" s="14">
        <f t="shared" si="6"/>
        <v>8110.57</v>
      </c>
      <c r="W9" s="15">
        <f t="shared" si="7"/>
        <v>205631.09000000003</v>
      </c>
    </row>
    <row r="10" spans="1:23" ht="18" customHeight="1" x14ac:dyDescent="0.3">
      <c r="A10" s="6" t="s">
        <v>31</v>
      </c>
      <c r="B10" s="7">
        <v>64534.77</v>
      </c>
      <c r="C10" s="8">
        <v>33426.800000000003</v>
      </c>
      <c r="D10" s="9">
        <f t="shared" si="0"/>
        <v>97961.57</v>
      </c>
      <c r="E10" s="7">
        <v>7873.26</v>
      </c>
      <c r="F10" s="8">
        <v>2972.11</v>
      </c>
      <c r="G10" s="9">
        <f t="shared" si="1"/>
        <v>10845.37</v>
      </c>
      <c r="H10" s="7">
        <v>11522.02</v>
      </c>
      <c r="I10" s="8">
        <v>5444.78</v>
      </c>
      <c r="J10" s="9">
        <f t="shared" si="2"/>
        <v>16966.8</v>
      </c>
      <c r="K10" s="7">
        <v>13959.1</v>
      </c>
      <c r="L10" s="8">
        <v>7984.02</v>
      </c>
      <c r="M10" s="9">
        <f t="shared" si="3"/>
        <v>21943.120000000003</v>
      </c>
      <c r="N10" s="7">
        <v>18821.71</v>
      </c>
      <c r="O10" s="8">
        <v>9544.41</v>
      </c>
      <c r="P10" s="9">
        <f t="shared" si="4"/>
        <v>28366.12</v>
      </c>
      <c r="Q10" s="7">
        <v>5894.07</v>
      </c>
      <c r="R10" s="8">
        <v>2543.27</v>
      </c>
      <c r="S10" s="9">
        <f t="shared" si="5"/>
        <v>8437.34</v>
      </c>
      <c r="T10" s="7">
        <v>8630.49</v>
      </c>
      <c r="U10" s="8">
        <v>5026.2299999999996</v>
      </c>
      <c r="V10" s="9">
        <f t="shared" si="6"/>
        <v>13656.72</v>
      </c>
      <c r="W10" s="10">
        <f t="shared" si="7"/>
        <v>198177.04</v>
      </c>
    </row>
    <row r="11" spans="1:23" ht="18" customHeight="1" x14ac:dyDescent="0.3">
      <c r="A11" s="11" t="s">
        <v>32</v>
      </c>
      <c r="B11" s="12">
        <v>83504.17</v>
      </c>
      <c r="C11" s="13">
        <v>0</v>
      </c>
      <c r="D11" s="14">
        <f t="shared" si="0"/>
        <v>83504.17</v>
      </c>
      <c r="E11" s="12">
        <v>7457.79</v>
      </c>
      <c r="F11" s="13">
        <v>2704.29</v>
      </c>
      <c r="G11" s="14">
        <f t="shared" si="1"/>
        <v>10162.08</v>
      </c>
      <c r="H11" s="12">
        <v>9334.89</v>
      </c>
      <c r="I11" s="13">
        <v>7421.88</v>
      </c>
      <c r="J11" s="14">
        <f t="shared" si="2"/>
        <v>16756.77</v>
      </c>
      <c r="K11" s="12">
        <v>13810.24</v>
      </c>
      <c r="L11" s="13">
        <v>8149.12</v>
      </c>
      <c r="M11" s="14">
        <f t="shared" si="3"/>
        <v>21959.360000000001</v>
      </c>
      <c r="N11" s="12">
        <v>16093.7</v>
      </c>
      <c r="O11" s="13">
        <v>9458.7099999999991</v>
      </c>
      <c r="P11" s="14">
        <f t="shared" si="4"/>
        <v>25552.41</v>
      </c>
      <c r="Q11" s="12">
        <v>5026.5200000000004</v>
      </c>
      <c r="R11" s="13">
        <v>2620.69</v>
      </c>
      <c r="S11" s="14">
        <f t="shared" si="5"/>
        <v>7647.2100000000009</v>
      </c>
      <c r="T11" s="12">
        <v>10119</v>
      </c>
      <c r="U11" s="13">
        <v>4793.4799999999996</v>
      </c>
      <c r="V11" s="14">
        <f t="shared" si="6"/>
        <v>14912.48</v>
      </c>
      <c r="W11" s="15">
        <f t="shared" si="7"/>
        <v>180494.48</v>
      </c>
    </row>
    <row r="12" spans="1:23" ht="18" customHeight="1" x14ac:dyDescent="0.3">
      <c r="A12" s="6" t="s">
        <v>33</v>
      </c>
      <c r="B12" s="7">
        <v>73504.09</v>
      </c>
      <c r="C12" s="8">
        <v>28693.15</v>
      </c>
      <c r="D12" s="9">
        <f t="shared" si="0"/>
        <v>102197.23999999999</v>
      </c>
      <c r="E12" s="7">
        <v>7904.86</v>
      </c>
      <c r="F12" s="8">
        <v>3230.68</v>
      </c>
      <c r="G12" s="9">
        <f t="shared" si="1"/>
        <v>11135.539999999999</v>
      </c>
      <c r="H12" s="7">
        <v>9710.41</v>
      </c>
      <c r="I12" s="8">
        <v>5875.61</v>
      </c>
      <c r="J12" s="9">
        <f t="shared" si="2"/>
        <v>15586.02</v>
      </c>
      <c r="K12" s="7">
        <v>16322.36</v>
      </c>
      <c r="L12" s="8">
        <v>0</v>
      </c>
      <c r="M12" s="9">
        <f t="shared" si="3"/>
        <v>16322.36</v>
      </c>
      <c r="N12" s="7">
        <v>20817.18</v>
      </c>
      <c r="O12" s="8">
        <v>7441.52</v>
      </c>
      <c r="P12" s="9">
        <f t="shared" si="4"/>
        <v>28258.7</v>
      </c>
      <c r="Q12" s="7">
        <v>4587.75</v>
      </c>
      <c r="R12" s="8">
        <v>3002.01</v>
      </c>
      <c r="S12" s="9">
        <f t="shared" si="5"/>
        <v>7589.76</v>
      </c>
      <c r="T12" s="7">
        <v>7404.63</v>
      </c>
      <c r="U12" s="8">
        <v>3843.12</v>
      </c>
      <c r="V12" s="9">
        <f t="shared" si="6"/>
        <v>11247.75</v>
      </c>
      <c r="W12" s="10">
        <f t="shared" si="7"/>
        <v>192337.37</v>
      </c>
    </row>
    <row r="13" spans="1:23" ht="18" customHeight="1" x14ac:dyDescent="0.3">
      <c r="A13" s="11" t="s">
        <v>34</v>
      </c>
      <c r="B13" s="12">
        <v>69826.91</v>
      </c>
      <c r="C13" s="13">
        <v>28596.48</v>
      </c>
      <c r="D13" s="14">
        <f t="shared" si="0"/>
        <v>98423.39</v>
      </c>
      <c r="E13" s="12">
        <v>8840.14</v>
      </c>
      <c r="F13" s="13">
        <v>3132.83</v>
      </c>
      <c r="G13" s="14">
        <f t="shared" si="1"/>
        <v>11972.97</v>
      </c>
      <c r="H13" s="12">
        <v>0</v>
      </c>
      <c r="I13" s="13">
        <v>6176.44</v>
      </c>
      <c r="J13" s="14">
        <f t="shared" si="2"/>
        <v>6176.44</v>
      </c>
      <c r="K13" s="12">
        <v>12614.6</v>
      </c>
      <c r="L13" s="13">
        <v>7865.61</v>
      </c>
      <c r="M13" s="14">
        <f t="shared" si="3"/>
        <v>20480.21</v>
      </c>
      <c r="N13" s="12">
        <v>20485.439999999999</v>
      </c>
      <c r="O13" s="13">
        <v>0</v>
      </c>
      <c r="P13" s="14">
        <f t="shared" si="4"/>
        <v>20485.439999999999</v>
      </c>
      <c r="Q13" s="12">
        <v>4669.2700000000004</v>
      </c>
      <c r="R13" s="13">
        <v>3048.9</v>
      </c>
      <c r="S13" s="14">
        <f t="shared" si="5"/>
        <v>7718.17</v>
      </c>
      <c r="T13" s="12">
        <v>7990.07</v>
      </c>
      <c r="U13" s="13">
        <v>5010.63</v>
      </c>
      <c r="V13" s="14">
        <f t="shared" si="6"/>
        <v>13000.7</v>
      </c>
      <c r="W13" s="15">
        <f t="shared" si="7"/>
        <v>178257.32000000004</v>
      </c>
    </row>
    <row r="14" spans="1:23" ht="18" customHeight="1" x14ac:dyDescent="0.3">
      <c r="A14" s="6" t="s">
        <v>35</v>
      </c>
      <c r="B14" s="7">
        <v>74074.41</v>
      </c>
      <c r="C14" s="8">
        <v>33241.22</v>
      </c>
      <c r="D14" s="9">
        <f t="shared" si="0"/>
        <v>107315.63</v>
      </c>
      <c r="E14" s="7">
        <v>7336.82</v>
      </c>
      <c r="F14" s="8">
        <v>2874.55</v>
      </c>
      <c r="G14" s="9">
        <f t="shared" si="1"/>
        <v>10211.369999999999</v>
      </c>
      <c r="H14" s="7">
        <v>12544.98</v>
      </c>
      <c r="I14" s="8">
        <v>5403.82</v>
      </c>
      <c r="J14" s="9">
        <f t="shared" si="2"/>
        <v>17948.8</v>
      </c>
      <c r="K14" s="7">
        <v>14897.17</v>
      </c>
      <c r="L14" s="8">
        <v>6420.04</v>
      </c>
      <c r="M14" s="9">
        <f t="shared" si="3"/>
        <v>21317.21</v>
      </c>
      <c r="N14" s="7">
        <v>15000.72</v>
      </c>
      <c r="O14" s="8">
        <v>9585.65</v>
      </c>
      <c r="P14" s="9">
        <f t="shared" si="4"/>
        <v>24586.37</v>
      </c>
      <c r="Q14" s="7">
        <v>4823.21</v>
      </c>
      <c r="R14" s="8">
        <v>3234.31</v>
      </c>
      <c r="S14" s="9">
        <f t="shared" si="5"/>
        <v>8057.52</v>
      </c>
      <c r="T14" s="7">
        <v>8703.27</v>
      </c>
      <c r="U14" s="8">
        <v>4869.0600000000004</v>
      </c>
      <c r="V14" s="9">
        <f t="shared" si="6"/>
        <v>13572.330000000002</v>
      </c>
      <c r="W14" s="10">
        <f t="shared" si="7"/>
        <v>203009.22999999998</v>
      </c>
    </row>
    <row r="15" spans="1:23" ht="18" customHeight="1" x14ac:dyDescent="0.3">
      <c r="A15" s="11" t="s">
        <v>36</v>
      </c>
      <c r="B15" s="12">
        <v>60221.64</v>
      </c>
      <c r="C15" s="13">
        <v>26908.12</v>
      </c>
      <c r="D15" s="14">
        <f t="shared" si="0"/>
        <v>87129.76</v>
      </c>
      <c r="E15" s="12">
        <v>0</v>
      </c>
      <c r="F15" s="13">
        <v>3136.33</v>
      </c>
      <c r="G15" s="14">
        <f t="shared" si="1"/>
        <v>3136.33</v>
      </c>
      <c r="H15" s="12">
        <v>9709.41</v>
      </c>
      <c r="I15" s="13">
        <v>6385.74</v>
      </c>
      <c r="J15" s="14">
        <f t="shared" si="2"/>
        <v>16095.15</v>
      </c>
      <c r="K15" s="12">
        <v>15768.82</v>
      </c>
      <c r="L15" s="13">
        <v>8024.05</v>
      </c>
      <c r="M15" s="14">
        <f t="shared" si="3"/>
        <v>23792.87</v>
      </c>
      <c r="N15" s="12">
        <v>16168.19</v>
      </c>
      <c r="O15" s="13">
        <v>10304.94</v>
      </c>
      <c r="P15" s="14">
        <f t="shared" si="4"/>
        <v>26473.13</v>
      </c>
      <c r="Q15" s="12">
        <v>6308.77</v>
      </c>
      <c r="R15" s="13">
        <v>2689.27</v>
      </c>
      <c r="S15" s="14">
        <f t="shared" si="5"/>
        <v>8998.0400000000009</v>
      </c>
      <c r="T15" s="12">
        <v>10415.16</v>
      </c>
      <c r="U15" s="13">
        <v>3708.22</v>
      </c>
      <c r="V15" s="14">
        <f t="shared" si="6"/>
        <v>14123.38</v>
      </c>
      <c r="W15" s="15">
        <f t="shared" si="7"/>
        <v>179748.66</v>
      </c>
    </row>
    <row r="16" spans="1:23" ht="18" customHeight="1" x14ac:dyDescent="0.3">
      <c r="A16" s="6" t="s">
        <v>37</v>
      </c>
      <c r="B16" s="7">
        <v>73903.48</v>
      </c>
      <c r="C16" s="8">
        <v>32761.3</v>
      </c>
      <c r="D16" s="9">
        <f t="shared" si="0"/>
        <v>106664.78</v>
      </c>
      <c r="E16" s="7">
        <v>7025.05</v>
      </c>
      <c r="F16" s="8">
        <v>3140.43</v>
      </c>
      <c r="G16" s="9">
        <f t="shared" si="1"/>
        <v>10165.48</v>
      </c>
      <c r="H16" s="7">
        <v>9839.0499999999993</v>
      </c>
      <c r="I16" s="8">
        <v>6526.4</v>
      </c>
      <c r="J16" s="9">
        <f t="shared" si="2"/>
        <v>16365.449999999999</v>
      </c>
      <c r="K16" s="7">
        <v>15209.41</v>
      </c>
      <c r="L16" s="8">
        <v>6653.14</v>
      </c>
      <c r="M16" s="9">
        <f t="shared" si="3"/>
        <v>21862.55</v>
      </c>
      <c r="N16" s="7">
        <v>17388.12</v>
      </c>
      <c r="O16" s="8">
        <v>9129.1</v>
      </c>
      <c r="P16" s="9">
        <f t="shared" si="4"/>
        <v>26517.22</v>
      </c>
      <c r="Q16" s="7">
        <v>5227.1899999999996</v>
      </c>
      <c r="R16" s="8">
        <v>2323.21</v>
      </c>
      <c r="S16" s="9">
        <f t="shared" si="5"/>
        <v>7550.4</v>
      </c>
      <c r="T16" s="7">
        <v>9260.6</v>
      </c>
      <c r="U16" s="8">
        <v>0</v>
      </c>
      <c r="V16" s="9">
        <f t="shared" si="6"/>
        <v>9260.6</v>
      </c>
      <c r="W16" s="10">
        <f t="shared" si="7"/>
        <v>198386.47999999998</v>
      </c>
    </row>
    <row r="17" spans="1:23" ht="18" customHeight="1" x14ac:dyDescent="0.3">
      <c r="A17" s="11" t="s">
        <v>38</v>
      </c>
      <c r="B17" s="12">
        <v>63609.81</v>
      </c>
      <c r="C17" s="13">
        <v>34619.14</v>
      </c>
      <c r="D17" s="14">
        <f t="shared" si="0"/>
        <v>98228.95</v>
      </c>
      <c r="E17" s="12">
        <v>9137.82</v>
      </c>
      <c r="F17" s="13">
        <v>2679.1</v>
      </c>
      <c r="G17" s="14">
        <f t="shared" si="1"/>
        <v>11816.92</v>
      </c>
      <c r="H17" s="12">
        <v>10700.07</v>
      </c>
      <c r="I17" s="13">
        <v>7024.1</v>
      </c>
      <c r="J17" s="14">
        <f t="shared" si="2"/>
        <v>17724.169999999998</v>
      </c>
      <c r="K17" s="12">
        <v>14759.93</v>
      </c>
      <c r="L17" s="13">
        <v>6823.93</v>
      </c>
      <c r="M17" s="14">
        <f t="shared" si="3"/>
        <v>21583.86</v>
      </c>
      <c r="N17" s="12">
        <v>17932.47</v>
      </c>
      <c r="O17" s="13">
        <v>9122.5300000000007</v>
      </c>
      <c r="P17" s="14">
        <f t="shared" si="4"/>
        <v>27055</v>
      </c>
      <c r="Q17" s="12">
        <v>4580.3900000000003</v>
      </c>
      <c r="R17" s="13">
        <v>2887.13</v>
      </c>
      <c r="S17" s="14">
        <f t="shared" si="5"/>
        <v>7467.52</v>
      </c>
      <c r="T17" s="12">
        <v>9766.4</v>
      </c>
      <c r="U17" s="13">
        <v>5299.4</v>
      </c>
      <c r="V17" s="14">
        <f t="shared" si="6"/>
        <v>15065.8</v>
      </c>
      <c r="W17" s="15">
        <f t="shared" si="7"/>
        <v>198942.21999999997</v>
      </c>
    </row>
    <row r="18" spans="1:23" ht="18" customHeight="1" x14ac:dyDescent="0.3">
      <c r="A18" s="6" t="s">
        <v>39</v>
      </c>
      <c r="B18" s="7">
        <v>68280.72</v>
      </c>
      <c r="C18" s="8">
        <v>0</v>
      </c>
      <c r="D18" s="9">
        <f t="shared" si="0"/>
        <v>68280.72</v>
      </c>
      <c r="E18" s="7">
        <v>8234.67</v>
      </c>
      <c r="F18" s="8">
        <v>3655.38</v>
      </c>
      <c r="G18" s="9">
        <f t="shared" si="1"/>
        <v>11890.05</v>
      </c>
      <c r="H18" s="7">
        <v>9919.99</v>
      </c>
      <c r="I18" s="8">
        <v>7119.72</v>
      </c>
      <c r="J18" s="9">
        <f t="shared" si="2"/>
        <v>17039.71</v>
      </c>
      <c r="K18" s="7">
        <v>11756.97</v>
      </c>
      <c r="L18" s="8">
        <v>7822.44</v>
      </c>
      <c r="M18" s="9">
        <f t="shared" si="3"/>
        <v>19579.41</v>
      </c>
      <c r="N18" s="7">
        <v>17750.48</v>
      </c>
      <c r="O18" s="8">
        <v>9416.26</v>
      </c>
      <c r="P18" s="9">
        <f t="shared" si="4"/>
        <v>27166.739999999998</v>
      </c>
      <c r="Q18" s="7">
        <v>5882.21</v>
      </c>
      <c r="R18" s="8">
        <v>3053.3</v>
      </c>
      <c r="S18" s="9">
        <f t="shared" si="5"/>
        <v>8935.51</v>
      </c>
      <c r="T18" s="7">
        <v>8191.27</v>
      </c>
      <c r="U18" s="8">
        <v>4974.53</v>
      </c>
      <c r="V18" s="9">
        <f t="shared" si="6"/>
        <v>13165.8</v>
      </c>
      <c r="W18" s="10">
        <f t="shared" si="7"/>
        <v>166057.94</v>
      </c>
    </row>
    <row r="19" spans="1:23" ht="18" customHeight="1" x14ac:dyDescent="0.3">
      <c r="A19" s="11" t="s">
        <v>40</v>
      </c>
      <c r="B19" s="12">
        <v>63301.07</v>
      </c>
      <c r="C19" s="13">
        <v>34218.46</v>
      </c>
      <c r="D19" s="14">
        <f t="shared" si="0"/>
        <v>97519.53</v>
      </c>
      <c r="E19" s="12">
        <v>7446.97</v>
      </c>
      <c r="F19" s="13">
        <v>2705.11</v>
      </c>
      <c r="G19" s="14">
        <f t="shared" si="1"/>
        <v>10152.08</v>
      </c>
      <c r="H19" s="12">
        <v>10068.77</v>
      </c>
      <c r="I19" s="13">
        <v>5929.53</v>
      </c>
      <c r="J19" s="14">
        <f t="shared" si="2"/>
        <v>15998.3</v>
      </c>
      <c r="K19" s="12">
        <v>12523.09</v>
      </c>
      <c r="L19" s="13">
        <v>7536.89</v>
      </c>
      <c r="M19" s="14">
        <f t="shared" si="3"/>
        <v>20059.98</v>
      </c>
      <c r="N19" s="12">
        <v>19207.919999999998</v>
      </c>
      <c r="O19" s="13">
        <v>9483.61</v>
      </c>
      <c r="P19" s="14">
        <f t="shared" si="4"/>
        <v>28691.53</v>
      </c>
      <c r="Q19" s="12">
        <v>4892.6499999999996</v>
      </c>
      <c r="R19" s="13">
        <v>2354.21</v>
      </c>
      <c r="S19" s="14">
        <f t="shared" si="5"/>
        <v>7246.86</v>
      </c>
      <c r="T19" s="12">
        <v>8720.2800000000007</v>
      </c>
      <c r="U19" s="13">
        <v>5116.5</v>
      </c>
      <c r="V19" s="14">
        <f t="shared" si="6"/>
        <v>13836.78</v>
      </c>
      <c r="W19" s="15">
        <f t="shared" si="7"/>
        <v>193505.06</v>
      </c>
    </row>
    <row r="20" spans="1:23" ht="18" customHeight="1" x14ac:dyDescent="0.3">
      <c r="A20" s="6" t="s">
        <v>41</v>
      </c>
      <c r="B20" s="7">
        <v>58760.75</v>
      </c>
      <c r="C20" s="8">
        <v>31022.2</v>
      </c>
      <c r="D20" s="9">
        <f t="shared" si="0"/>
        <v>89782.95</v>
      </c>
      <c r="E20" s="7">
        <v>8001.81</v>
      </c>
      <c r="F20" s="8">
        <v>2959.27</v>
      </c>
      <c r="G20" s="9">
        <f t="shared" si="1"/>
        <v>10961.08</v>
      </c>
      <c r="H20" s="7">
        <v>11537.47</v>
      </c>
      <c r="I20" s="8">
        <v>6046.05</v>
      </c>
      <c r="J20" s="9">
        <f t="shared" si="2"/>
        <v>17583.52</v>
      </c>
      <c r="K20" s="7">
        <v>14684.23</v>
      </c>
      <c r="L20" s="8">
        <v>7034.72</v>
      </c>
      <c r="M20" s="9">
        <f t="shared" si="3"/>
        <v>21718.95</v>
      </c>
      <c r="N20" s="7">
        <v>19875.36</v>
      </c>
      <c r="O20" s="8">
        <v>0</v>
      </c>
      <c r="P20" s="9">
        <f t="shared" si="4"/>
        <v>19875.36</v>
      </c>
      <c r="Q20" s="7">
        <v>5410.8</v>
      </c>
      <c r="R20" s="8">
        <v>2887.49</v>
      </c>
      <c r="S20" s="9">
        <f t="shared" si="5"/>
        <v>8298.2900000000009</v>
      </c>
      <c r="T20" s="7">
        <v>7661.17</v>
      </c>
      <c r="U20" s="8">
        <v>3957.42</v>
      </c>
      <c r="V20" s="9">
        <f t="shared" si="6"/>
        <v>11618.59</v>
      </c>
      <c r="W20" s="10">
        <f t="shared" si="7"/>
        <v>179838.74</v>
      </c>
    </row>
    <row r="21" spans="1:23" ht="18" customHeight="1" x14ac:dyDescent="0.3">
      <c r="A21" s="11" t="s">
        <v>42</v>
      </c>
      <c r="B21" s="12">
        <v>66576.55</v>
      </c>
      <c r="C21" s="13">
        <v>26926.25</v>
      </c>
      <c r="D21" s="14">
        <f t="shared" si="0"/>
        <v>93502.8</v>
      </c>
      <c r="E21" s="12">
        <v>0</v>
      </c>
      <c r="F21" s="13">
        <v>2711.27</v>
      </c>
      <c r="G21" s="14">
        <f t="shared" si="1"/>
        <v>2711.27</v>
      </c>
      <c r="H21" s="12">
        <v>12375.49</v>
      </c>
      <c r="I21" s="13">
        <v>5505.49</v>
      </c>
      <c r="J21" s="14">
        <f t="shared" si="2"/>
        <v>17880.98</v>
      </c>
      <c r="K21" s="12">
        <v>12062.66</v>
      </c>
      <c r="L21" s="13">
        <v>7657.39</v>
      </c>
      <c r="M21" s="14">
        <f t="shared" si="3"/>
        <v>19720.05</v>
      </c>
      <c r="N21" s="12">
        <v>19293.669999999998</v>
      </c>
      <c r="O21" s="13">
        <v>7655.36</v>
      </c>
      <c r="P21" s="14">
        <f t="shared" si="4"/>
        <v>26949.03</v>
      </c>
      <c r="Q21" s="12">
        <v>5696.8</v>
      </c>
      <c r="R21" s="13">
        <v>2501.3000000000002</v>
      </c>
      <c r="S21" s="14">
        <f t="shared" si="5"/>
        <v>8198.1</v>
      </c>
      <c r="T21" s="12">
        <v>10030.629999999999</v>
      </c>
      <c r="U21" s="13">
        <v>4764.8900000000003</v>
      </c>
      <c r="V21" s="14">
        <f t="shared" si="6"/>
        <v>14795.52</v>
      </c>
      <c r="W21" s="15">
        <f t="shared" si="7"/>
        <v>183757.75</v>
      </c>
    </row>
    <row r="22" spans="1:23" ht="18" customHeight="1" x14ac:dyDescent="0.3">
      <c r="A22" s="6" t="s">
        <v>43</v>
      </c>
      <c r="B22" s="7">
        <v>0</v>
      </c>
      <c r="C22" s="8">
        <v>28035.919999999998</v>
      </c>
      <c r="D22" s="9">
        <f t="shared" si="0"/>
        <v>28035.919999999998</v>
      </c>
      <c r="E22" s="7">
        <v>7589.65</v>
      </c>
      <c r="F22" s="8">
        <v>2580.3000000000002</v>
      </c>
      <c r="G22" s="9">
        <f t="shared" si="1"/>
        <v>10169.950000000001</v>
      </c>
      <c r="H22" s="7">
        <v>12550.14</v>
      </c>
      <c r="I22" s="8">
        <v>6583.55</v>
      </c>
      <c r="J22" s="9">
        <f t="shared" si="2"/>
        <v>19133.689999999999</v>
      </c>
      <c r="K22" s="7">
        <v>16148.18</v>
      </c>
      <c r="L22" s="8">
        <v>8171.05</v>
      </c>
      <c r="M22" s="9">
        <f t="shared" si="3"/>
        <v>24319.23</v>
      </c>
      <c r="N22" s="7">
        <v>19423.7</v>
      </c>
      <c r="O22" s="8">
        <v>7911.29</v>
      </c>
      <c r="P22" s="9">
        <f t="shared" si="4"/>
        <v>27334.99</v>
      </c>
      <c r="Q22" s="7">
        <v>5824.62</v>
      </c>
      <c r="R22" s="8">
        <v>2688.43</v>
      </c>
      <c r="S22" s="9">
        <f t="shared" si="5"/>
        <v>8513.0499999999993</v>
      </c>
      <c r="T22" s="7">
        <v>7553.06</v>
      </c>
      <c r="U22" s="8">
        <v>3836.51</v>
      </c>
      <c r="V22" s="9">
        <f t="shared" si="6"/>
        <v>11389.57</v>
      </c>
      <c r="W22" s="10">
        <f t="shared" si="7"/>
        <v>128896.4</v>
      </c>
    </row>
    <row r="23" spans="1:23" ht="18" customHeight="1" x14ac:dyDescent="0.3">
      <c r="A23" s="11" t="s">
        <v>44</v>
      </c>
      <c r="B23" s="12">
        <v>78487.39</v>
      </c>
      <c r="C23" s="13">
        <v>26213.21</v>
      </c>
      <c r="D23" s="14">
        <f t="shared" si="0"/>
        <v>104700.6</v>
      </c>
      <c r="E23" s="12">
        <v>6882.91</v>
      </c>
      <c r="F23" s="13">
        <v>3035.92</v>
      </c>
      <c r="G23" s="14">
        <f t="shared" si="1"/>
        <v>9918.83</v>
      </c>
      <c r="H23" s="12">
        <v>10501.73</v>
      </c>
      <c r="I23" s="13">
        <v>6227.52</v>
      </c>
      <c r="J23" s="14">
        <f t="shared" si="2"/>
        <v>16729.25</v>
      </c>
      <c r="K23" s="12">
        <v>14643.65</v>
      </c>
      <c r="L23" s="13">
        <v>7142.15</v>
      </c>
      <c r="M23" s="14">
        <f t="shared" si="3"/>
        <v>21785.8</v>
      </c>
      <c r="N23" s="12">
        <v>16045.41</v>
      </c>
      <c r="O23" s="13">
        <v>8366.59</v>
      </c>
      <c r="P23" s="14">
        <f t="shared" si="4"/>
        <v>24412</v>
      </c>
      <c r="Q23" s="12">
        <v>4879.3599999999997</v>
      </c>
      <c r="R23" s="13">
        <v>2724.92</v>
      </c>
      <c r="S23" s="14">
        <f t="shared" si="5"/>
        <v>7604.28</v>
      </c>
      <c r="T23" s="12">
        <v>7482.8</v>
      </c>
      <c r="U23" s="13">
        <v>5096.93</v>
      </c>
      <c r="V23" s="14">
        <f t="shared" si="6"/>
        <v>12579.73</v>
      </c>
      <c r="W23" s="15">
        <f t="shared" si="7"/>
        <v>197730.49</v>
      </c>
    </row>
    <row r="24" spans="1:23" ht="18" customHeight="1" x14ac:dyDescent="0.3">
      <c r="A24" s="6" t="s">
        <v>45</v>
      </c>
      <c r="B24" s="7">
        <v>75269.95</v>
      </c>
      <c r="C24" s="8">
        <v>31626.61</v>
      </c>
      <c r="D24" s="9">
        <f t="shared" si="0"/>
        <v>106896.56</v>
      </c>
      <c r="E24" s="7">
        <v>8680.81</v>
      </c>
      <c r="F24" s="8">
        <v>2960.92</v>
      </c>
      <c r="G24" s="9">
        <f t="shared" si="1"/>
        <v>11641.73</v>
      </c>
      <c r="H24" s="7">
        <v>11373.28</v>
      </c>
      <c r="I24" s="8">
        <v>6841.42</v>
      </c>
      <c r="J24" s="9">
        <f t="shared" si="2"/>
        <v>18214.7</v>
      </c>
      <c r="K24" s="7">
        <v>13135.69</v>
      </c>
      <c r="L24" s="8">
        <v>7872.49</v>
      </c>
      <c r="M24" s="9">
        <f t="shared" si="3"/>
        <v>21008.18</v>
      </c>
      <c r="N24" s="7">
        <v>19161.48</v>
      </c>
      <c r="O24" s="8">
        <v>9569.5400000000009</v>
      </c>
      <c r="P24" s="9">
        <f t="shared" si="4"/>
        <v>28731.02</v>
      </c>
      <c r="Q24" s="7">
        <v>6250.42</v>
      </c>
      <c r="R24" s="8">
        <v>3300.71</v>
      </c>
      <c r="S24" s="9">
        <f t="shared" si="5"/>
        <v>9551.130000000001</v>
      </c>
      <c r="T24" s="7">
        <v>8610.6</v>
      </c>
      <c r="U24" s="8">
        <v>3960.97</v>
      </c>
      <c r="V24" s="9">
        <f t="shared" si="6"/>
        <v>12571.57</v>
      </c>
      <c r="W24" s="10">
        <f t="shared" si="7"/>
        <v>208614.88999999998</v>
      </c>
    </row>
    <row r="25" spans="1:23" ht="18" customHeight="1" x14ac:dyDescent="0.3">
      <c r="A25" s="11" t="s">
        <v>46</v>
      </c>
      <c r="B25" s="12">
        <v>74218.38</v>
      </c>
      <c r="C25" s="13">
        <v>27483.81</v>
      </c>
      <c r="D25" s="14">
        <f t="shared" si="0"/>
        <v>101702.19</v>
      </c>
      <c r="E25" s="12">
        <v>8324.0499999999993</v>
      </c>
      <c r="F25" s="13">
        <v>3423.55</v>
      </c>
      <c r="G25" s="14">
        <f t="shared" si="1"/>
        <v>11747.599999999999</v>
      </c>
      <c r="H25" s="12">
        <v>12558.61</v>
      </c>
      <c r="I25" s="13">
        <v>7502.35</v>
      </c>
      <c r="J25" s="14">
        <f t="shared" si="2"/>
        <v>20060.96</v>
      </c>
      <c r="K25" s="12">
        <v>15015.99</v>
      </c>
      <c r="L25" s="13">
        <v>8182.62</v>
      </c>
      <c r="M25" s="14">
        <f t="shared" si="3"/>
        <v>23198.61</v>
      </c>
      <c r="N25" s="12">
        <v>17550.14</v>
      </c>
      <c r="O25" s="13">
        <v>8335.42</v>
      </c>
      <c r="P25" s="14">
        <f t="shared" si="4"/>
        <v>25885.559999999998</v>
      </c>
      <c r="Q25" s="12">
        <v>5274.87</v>
      </c>
      <c r="R25" s="13">
        <v>2300.0500000000002</v>
      </c>
      <c r="S25" s="14">
        <f t="shared" si="5"/>
        <v>7574.92</v>
      </c>
      <c r="T25" s="12">
        <v>8852.1</v>
      </c>
      <c r="U25" s="13">
        <v>3768.6</v>
      </c>
      <c r="V25" s="14">
        <f t="shared" si="6"/>
        <v>12620.7</v>
      </c>
      <c r="W25" s="15">
        <f t="shared" si="7"/>
        <v>202790.54</v>
      </c>
    </row>
    <row r="26" spans="1:23" ht="18" customHeight="1" x14ac:dyDescent="0.3">
      <c r="A26" s="6" t="s">
        <v>47</v>
      </c>
      <c r="B26" s="7">
        <v>61065.42</v>
      </c>
      <c r="C26" s="8">
        <v>27794.5</v>
      </c>
      <c r="D26" s="9">
        <f t="shared" si="0"/>
        <v>88859.92</v>
      </c>
      <c r="E26" s="7">
        <v>8610.35</v>
      </c>
      <c r="F26" s="8">
        <v>2979.19</v>
      </c>
      <c r="G26" s="9">
        <f t="shared" si="1"/>
        <v>11589.54</v>
      </c>
      <c r="H26" s="7">
        <v>9478.7999999999993</v>
      </c>
      <c r="I26" s="8">
        <v>6865</v>
      </c>
      <c r="J26" s="9">
        <f t="shared" si="2"/>
        <v>16343.8</v>
      </c>
      <c r="K26" s="7">
        <v>16416.25</v>
      </c>
      <c r="L26" s="8">
        <v>7315.5</v>
      </c>
      <c r="M26" s="9">
        <f t="shared" si="3"/>
        <v>23731.75</v>
      </c>
      <c r="N26" s="7">
        <v>19307.919999999998</v>
      </c>
      <c r="O26" s="8">
        <v>7817.67</v>
      </c>
      <c r="P26" s="9">
        <f t="shared" si="4"/>
        <v>27125.589999999997</v>
      </c>
      <c r="Q26" s="7">
        <v>6363.76</v>
      </c>
      <c r="R26" s="8">
        <v>2933.22</v>
      </c>
      <c r="S26" s="9">
        <f t="shared" si="5"/>
        <v>9296.98</v>
      </c>
      <c r="T26" s="7">
        <v>8282.9599999999991</v>
      </c>
      <c r="U26" s="8">
        <v>3695.88</v>
      </c>
      <c r="V26" s="9">
        <f t="shared" si="6"/>
        <v>11978.84</v>
      </c>
      <c r="W26" s="10">
        <f t="shared" si="7"/>
        <v>188926.42</v>
      </c>
    </row>
    <row r="27" spans="1:23" ht="18" customHeight="1" x14ac:dyDescent="0.3">
      <c r="A27" s="11" t="s">
        <v>48</v>
      </c>
      <c r="B27" s="12">
        <v>62485.86</v>
      </c>
      <c r="C27" s="13">
        <v>26901.83</v>
      </c>
      <c r="D27" s="14">
        <f t="shared" si="0"/>
        <v>89387.69</v>
      </c>
      <c r="E27" s="12">
        <v>0</v>
      </c>
      <c r="F27" s="13">
        <v>2735.62</v>
      </c>
      <c r="G27" s="14">
        <f t="shared" si="1"/>
        <v>2735.62</v>
      </c>
      <c r="H27" s="12">
        <v>11214.54</v>
      </c>
      <c r="I27" s="13">
        <v>7199.38</v>
      </c>
      <c r="J27" s="14">
        <f t="shared" si="2"/>
        <v>18413.920000000002</v>
      </c>
      <c r="K27" s="12">
        <v>12331.34</v>
      </c>
      <c r="L27" s="13">
        <v>5985.71</v>
      </c>
      <c r="M27" s="14">
        <f t="shared" si="3"/>
        <v>18317.05</v>
      </c>
      <c r="N27" s="12">
        <v>16758.259999999998</v>
      </c>
      <c r="O27" s="13">
        <v>8081.8</v>
      </c>
      <c r="P27" s="14">
        <f t="shared" si="4"/>
        <v>24840.059999999998</v>
      </c>
      <c r="Q27" s="12">
        <v>6077.24</v>
      </c>
      <c r="R27" s="13">
        <v>3048.03</v>
      </c>
      <c r="S27" s="14">
        <f t="shared" si="5"/>
        <v>9125.27</v>
      </c>
      <c r="T27" s="12">
        <v>8170.85</v>
      </c>
      <c r="U27" s="13">
        <v>4182.84</v>
      </c>
      <c r="V27" s="14">
        <f t="shared" si="6"/>
        <v>12353.69</v>
      </c>
      <c r="W27" s="15">
        <f t="shared" si="7"/>
        <v>175173.3</v>
      </c>
    </row>
    <row r="28" spans="1:23" ht="18" customHeight="1" x14ac:dyDescent="0.3">
      <c r="A28" s="6" t="s">
        <v>49</v>
      </c>
      <c r="B28" s="7">
        <v>80571.66</v>
      </c>
      <c r="C28" s="8">
        <v>25504.560000000001</v>
      </c>
      <c r="D28" s="9">
        <f t="shared" si="0"/>
        <v>106076.22</v>
      </c>
      <c r="E28" s="7">
        <v>9204.89</v>
      </c>
      <c r="F28" s="8">
        <v>3315.17</v>
      </c>
      <c r="G28" s="9">
        <f t="shared" si="1"/>
        <v>12520.06</v>
      </c>
      <c r="H28" s="7">
        <v>9759.98</v>
      </c>
      <c r="I28" s="8">
        <v>7509.83</v>
      </c>
      <c r="J28" s="9">
        <f t="shared" si="2"/>
        <v>17269.809999999998</v>
      </c>
      <c r="K28" s="7">
        <v>16074.44</v>
      </c>
      <c r="L28" s="8">
        <v>7540.94</v>
      </c>
      <c r="M28" s="9">
        <f t="shared" si="3"/>
        <v>23615.38</v>
      </c>
      <c r="N28" s="7">
        <v>20651.72</v>
      </c>
      <c r="O28" s="8">
        <v>9158.08</v>
      </c>
      <c r="P28" s="9">
        <f t="shared" si="4"/>
        <v>29809.800000000003</v>
      </c>
      <c r="Q28" s="7">
        <v>6102.66</v>
      </c>
      <c r="R28" s="8">
        <v>2327.4</v>
      </c>
      <c r="S28" s="9">
        <f t="shared" si="5"/>
        <v>8430.06</v>
      </c>
      <c r="T28" s="7">
        <v>7838.71</v>
      </c>
      <c r="U28" s="8">
        <v>4710.57</v>
      </c>
      <c r="V28" s="9">
        <f t="shared" si="6"/>
        <v>12549.279999999999</v>
      </c>
      <c r="W28" s="10">
        <f t="shared" si="7"/>
        <v>210270.61000000002</v>
      </c>
    </row>
    <row r="29" spans="1:23" ht="18" customHeight="1" x14ac:dyDescent="0.3">
      <c r="A29" s="11" t="s">
        <v>50</v>
      </c>
      <c r="B29" s="12">
        <v>82524.69</v>
      </c>
      <c r="C29" s="13">
        <v>29359.4</v>
      </c>
      <c r="D29" s="14">
        <f t="shared" si="0"/>
        <v>111884.09</v>
      </c>
      <c r="E29" s="12">
        <v>7606.75</v>
      </c>
      <c r="F29" s="13">
        <v>2986.63</v>
      </c>
      <c r="G29" s="14">
        <f t="shared" si="1"/>
        <v>10593.380000000001</v>
      </c>
      <c r="H29" s="12">
        <v>11989.04</v>
      </c>
      <c r="I29" s="13">
        <v>5935.24</v>
      </c>
      <c r="J29" s="14">
        <f t="shared" si="2"/>
        <v>17924.28</v>
      </c>
      <c r="K29" s="12">
        <v>12613.79</v>
      </c>
      <c r="L29" s="13">
        <v>8037.11</v>
      </c>
      <c r="M29" s="14">
        <f t="shared" si="3"/>
        <v>20650.900000000001</v>
      </c>
      <c r="N29" s="12">
        <v>17423.64</v>
      </c>
      <c r="O29" s="13">
        <v>8227.86</v>
      </c>
      <c r="P29" s="14">
        <f t="shared" si="4"/>
        <v>25651.5</v>
      </c>
      <c r="Q29" s="12">
        <v>5573.94</v>
      </c>
      <c r="R29" s="13">
        <v>2833.51</v>
      </c>
      <c r="S29" s="14">
        <f t="shared" si="5"/>
        <v>8407.4500000000007</v>
      </c>
      <c r="T29" s="12">
        <v>7635.66</v>
      </c>
      <c r="U29" s="13">
        <v>4079.27</v>
      </c>
      <c r="V29" s="14">
        <f t="shared" si="6"/>
        <v>11714.93</v>
      </c>
      <c r="W29" s="15">
        <f t="shared" si="7"/>
        <v>206826.53</v>
      </c>
    </row>
    <row r="30" spans="1:23" ht="18" customHeight="1" x14ac:dyDescent="0.3">
      <c r="A30" s="6" t="s">
        <v>51</v>
      </c>
      <c r="B30" s="7">
        <v>65664.58</v>
      </c>
      <c r="C30" s="8">
        <v>31706.43</v>
      </c>
      <c r="D30" s="9">
        <f t="shared" si="0"/>
        <v>97371.010000000009</v>
      </c>
      <c r="E30" s="7">
        <v>8781.57</v>
      </c>
      <c r="F30" s="8">
        <v>2893.96</v>
      </c>
      <c r="G30" s="9">
        <f t="shared" si="1"/>
        <v>11675.529999999999</v>
      </c>
      <c r="H30" s="7">
        <v>11971.97</v>
      </c>
      <c r="I30" s="8">
        <v>6981.81</v>
      </c>
      <c r="J30" s="9">
        <f t="shared" si="2"/>
        <v>18953.78</v>
      </c>
      <c r="K30" s="7">
        <v>16156.59</v>
      </c>
      <c r="L30" s="8">
        <v>7432.36</v>
      </c>
      <c r="M30" s="9">
        <f t="shared" si="3"/>
        <v>23588.95</v>
      </c>
      <c r="N30" s="7">
        <v>18182.07</v>
      </c>
      <c r="O30" s="8">
        <v>7686.83</v>
      </c>
      <c r="P30" s="9">
        <f t="shared" si="4"/>
        <v>25868.9</v>
      </c>
      <c r="Q30" s="7">
        <v>5035.43</v>
      </c>
      <c r="R30" s="8">
        <v>2722.87</v>
      </c>
      <c r="S30" s="9">
        <f t="shared" si="5"/>
        <v>7758.3</v>
      </c>
      <c r="T30" s="7">
        <v>8185.22</v>
      </c>
      <c r="U30" s="8">
        <v>5092.1000000000004</v>
      </c>
      <c r="V30" s="9">
        <f t="shared" si="6"/>
        <v>13277.32</v>
      </c>
      <c r="W30" s="10">
        <f t="shared" si="7"/>
        <v>198493.79</v>
      </c>
    </row>
    <row r="31" spans="1:23" ht="18" customHeight="1" x14ac:dyDescent="0.3">
      <c r="A31" s="11" t="s">
        <v>52</v>
      </c>
      <c r="B31" s="12">
        <v>74290.600000000006</v>
      </c>
      <c r="C31" s="13">
        <v>27765.49</v>
      </c>
      <c r="D31" s="14">
        <f t="shared" si="0"/>
        <v>102056.09000000001</v>
      </c>
      <c r="E31" s="12">
        <v>7145.32</v>
      </c>
      <c r="F31" s="13">
        <v>3319.38</v>
      </c>
      <c r="G31" s="14">
        <f t="shared" si="1"/>
        <v>10464.700000000001</v>
      </c>
      <c r="H31" s="12">
        <v>11214.86</v>
      </c>
      <c r="I31" s="13">
        <v>7048.35</v>
      </c>
      <c r="J31" s="14">
        <f t="shared" si="2"/>
        <v>18263.21</v>
      </c>
      <c r="K31" s="12">
        <v>13648.27</v>
      </c>
      <c r="L31" s="13">
        <v>7463.06</v>
      </c>
      <c r="M31" s="14">
        <f t="shared" si="3"/>
        <v>21111.33</v>
      </c>
      <c r="N31" s="12">
        <v>16451.21</v>
      </c>
      <c r="O31" s="13">
        <v>8777.24</v>
      </c>
      <c r="P31" s="14">
        <f t="shared" si="4"/>
        <v>25228.449999999997</v>
      </c>
      <c r="Q31" s="12">
        <v>0</v>
      </c>
      <c r="R31" s="13">
        <v>2675.89</v>
      </c>
      <c r="S31" s="14">
        <f t="shared" si="5"/>
        <v>2675.89</v>
      </c>
      <c r="T31" s="12">
        <v>9553.11</v>
      </c>
      <c r="U31" s="13">
        <v>5199.0600000000004</v>
      </c>
      <c r="V31" s="14">
        <f t="shared" si="6"/>
        <v>14752.170000000002</v>
      </c>
      <c r="W31" s="15">
        <f t="shared" si="7"/>
        <v>194551.84000000005</v>
      </c>
    </row>
    <row r="32" spans="1:23" ht="21.75" customHeight="1" x14ac:dyDescent="0.3">
      <c r="A32" s="16" t="s">
        <v>53</v>
      </c>
      <c r="B32" s="17">
        <f t="shared" ref="B32:W32" si="8">SUM(B2:B31)</f>
        <v>1916817.9700000002</v>
      </c>
      <c r="C32" s="18">
        <f t="shared" si="8"/>
        <v>842443.59000000008</v>
      </c>
      <c r="D32" s="19">
        <f t="shared" si="8"/>
        <v>2759261.5600000005</v>
      </c>
      <c r="E32" s="17">
        <f t="shared" si="8"/>
        <v>218009.99</v>
      </c>
      <c r="F32" s="18">
        <f t="shared" si="8"/>
        <v>88081.290000000008</v>
      </c>
      <c r="G32" s="19">
        <f t="shared" si="8"/>
        <v>306091.27999999997</v>
      </c>
      <c r="H32" s="17">
        <f t="shared" si="8"/>
        <v>304245.83999999991</v>
      </c>
      <c r="I32" s="18">
        <f t="shared" si="8"/>
        <v>187566.23</v>
      </c>
      <c r="J32" s="19">
        <f t="shared" si="8"/>
        <v>491812.07</v>
      </c>
      <c r="K32" s="17">
        <f t="shared" si="8"/>
        <v>410824.75000000006</v>
      </c>
      <c r="L32" s="18">
        <f t="shared" si="8"/>
        <v>213378.51999999993</v>
      </c>
      <c r="M32" s="19">
        <f t="shared" si="8"/>
        <v>624203.26999999979</v>
      </c>
      <c r="N32" s="17">
        <f t="shared" si="8"/>
        <v>522996.95999999996</v>
      </c>
      <c r="O32" s="18">
        <f t="shared" si="8"/>
        <v>237222.21999999994</v>
      </c>
      <c r="P32" s="19">
        <f t="shared" si="8"/>
        <v>760219.18</v>
      </c>
      <c r="Q32" s="17">
        <f t="shared" si="8"/>
        <v>158821.35999999999</v>
      </c>
      <c r="R32" s="18">
        <f t="shared" si="8"/>
        <v>83507.27999999997</v>
      </c>
      <c r="S32" s="19">
        <f t="shared" si="8"/>
        <v>242328.63999999998</v>
      </c>
      <c r="T32" s="17">
        <f t="shared" si="8"/>
        <v>239114.23000000004</v>
      </c>
      <c r="U32" s="18">
        <f t="shared" si="8"/>
        <v>126384.17000000003</v>
      </c>
      <c r="V32" s="19">
        <f t="shared" si="8"/>
        <v>365498.39999999997</v>
      </c>
      <c r="W32" s="20">
        <f t="shared" si="8"/>
        <v>5549414.3999999994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5" sqref="A5"/>
      <selection pane="bottomRight" sqref="A1:XFD1"/>
    </sheetView>
  </sheetViews>
  <sheetFormatPr defaultColWidth="8.6640625" defaultRowHeight="14.4" x14ac:dyDescent="0.3"/>
  <cols>
    <col min="1" max="1" width="16" customWidth="1"/>
    <col min="2" max="3" width="20" customWidth="1"/>
    <col min="4" max="4" width="22" customWidth="1"/>
  </cols>
  <sheetData>
    <row r="1" spans="1:4" ht="21.75" customHeight="1" x14ac:dyDescent="0.3">
      <c r="A1" s="1" t="s">
        <v>0</v>
      </c>
      <c r="B1" s="2" t="s">
        <v>54</v>
      </c>
      <c r="C1" s="3" t="s">
        <v>55</v>
      </c>
      <c r="D1" s="5" t="s">
        <v>22</v>
      </c>
    </row>
    <row r="2" spans="1:4" ht="18" customHeight="1" x14ac:dyDescent="0.3">
      <c r="A2" s="6" t="s">
        <v>23</v>
      </c>
      <c r="B2" s="7">
        <v>47401.22</v>
      </c>
      <c r="C2" s="8">
        <v>18561.27</v>
      </c>
      <c r="D2" s="10">
        <f t="shared" ref="D2:D31" si="0">B2+C2</f>
        <v>65962.490000000005</v>
      </c>
    </row>
    <row r="3" spans="1:4" ht="18" customHeight="1" x14ac:dyDescent="0.3">
      <c r="A3" s="11" t="s">
        <v>24</v>
      </c>
      <c r="B3" s="12">
        <v>35342.26</v>
      </c>
      <c r="C3" s="13">
        <v>17184.13</v>
      </c>
      <c r="D3" s="15">
        <f t="shared" si="0"/>
        <v>52526.39</v>
      </c>
    </row>
    <row r="4" spans="1:4" ht="18" customHeight="1" x14ac:dyDescent="0.3">
      <c r="A4" s="6" t="s">
        <v>25</v>
      </c>
      <c r="B4" s="7">
        <v>40908.75</v>
      </c>
      <c r="C4" s="8">
        <v>19160.29</v>
      </c>
      <c r="D4" s="10">
        <f t="shared" si="0"/>
        <v>60069.04</v>
      </c>
    </row>
    <row r="5" spans="1:4" ht="18" customHeight="1" x14ac:dyDescent="0.3">
      <c r="A5" s="11" t="s">
        <v>26</v>
      </c>
      <c r="B5" s="12">
        <v>37980.79</v>
      </c>
      <c r="C5" s="13">
        <v>16928.63</v>
      </c>
      <c r="D5" s="15">
        <f t="shared" si="0"/>
        <v>54909.42</v>
      </c>
    </row>
    <row r="6" spans="1:4" ht="18" customHeight="1" x14ac:dyDescent="0.3">
      <c r="A6" s="6" t="s">
        <v>27</v>
      </c>
      <c r="B6" s="7">
        <v>37864.769999999997</v>
      </c>
      <c r="C6" s="8">
        <v>15879.14</v>
      </c>
      <c r="D6" s="10">
        <f t="shared" si="0"/>
        <v>53743.909999999996</v>
      </c>
    </row>
    <row r="7" spans="1:4" ht="18" customHeight="1" x14ac:dyDescent="0.3">
      <c r="A7" s="11" t="s">
        <v>28</v>
      </c>
      <c r="B7" s="12">
        <v>45344.1</v>
      </c>
      <c r="C7" s="13">
        <v>15307.21</v>
      </c>
      <c r="D7" s="15">
        <f t="shared" si="0"/>
        <v>60651.31</v>
      </c>
    </row>
    <row r="8" spans="1:4" ht="18" customHeight="1" x14ac:dyDescent="0.3">
      <c r="A8" s="6" t="s">
        <v>29</v>
      </c>
      <c r="B8" s="7">
        <v>47261.35</v>
      </c>
      <c r="C8" s="8">
        <v>20328.95</v>
      </c>
      <c r="D8" s="10">
        <f t="shared" si="0"/>
        <v>67590.3</v>
      </c>
    </row>
    <row r="9" spans="1:4" ht="18" customHeight="1" x14ac:dyDescent="0.3">
      <c r="A9" s="11" t="s">
        <v>30</v>
      </c>
      <c r="B9" s="12">
        <v>36988.86</v>
      </c>
      <c r="C9" s="13">
        <v>20078.509999999998</v>
      </c>
      <c r="D9" s="15">
        <f t="shared" si="0"/>
        <v>57067.369999999995</v>
      </c>
    </row>
    <row r="10" spans="1:4" ht="18" customHeight="1" x14ac:dyDescent="0.3">
      <c r="A10" s="6" t="s">
        <v>31</v>
      </c>
      <c r="B10" s="7">
        <v>35073.47</v>
      </c>
      <c r="C10" s="8">
        <v>15966.59</v>
      </c>
      <c r="D10" s="10">
        <f t="shared" si="0"/>
        <v>51040.06</v>
      </c>
    </row>
    <row r="11" spans="1:4" ht="18" customHeight="1" x14ac:dyDescent="0.3">
      <c r="A11" s="11" t="s">
        <v>32</v>
      </c>
      <c r="B11" s="12">
        <v>44174.21</v>
      </c>
      <c r="C11" s="13">
        <v>17376.3</v>
      </c>
      <c r="D11" s="15">
        <f t="shared" si="0"/>
        <v>61550.509999999995</v>
      </c>
    </row>
    <row r="12" spans="1:4" ht="18" customHeight="1" x14ac:dyDescent="0.3">
      <c r="A12" s="6" t="s">
        <v>33</v>
      </c>
      <c r="B12" s="7">
        <v>39624.26</v>
      </c>
      <c r="C12" s="8">
        <v>16085.61</v>
      </c>
      <c r="D12" s="10">
        <f t="shared" si="0"/>
        <v>55709.87</v>
      </c>
    </row>
    <row r="13" spans="1:4" ht="18" customHeight="1" x14ac:dyDescent="0.3">
      <c r="A13" s="11" t="s">
        <v>34</v>
      </c>
      <c r="B13" s="12">
        <v>37155.71</v>
      </c>
      <c r="C13" s="13">
        <v>16942.04</v>
      </c>
      <c r="D13" s="15">
        <f t="shared" si="0"/>
        <v>54097.75</v>
      </c>
    </row>
    <row r="14" spans="1:4" ht="18" customHeight="1" x14ac:dyDescent="0.3">
      <c r="A14" s="6" t="s">
        <v>35</v>
      </c>
      <c r="B14" s="7">
        <v>40203.53</v>
      </c>
      <c r="C14" s="8">
        <v>18318.259999999998</v>
      </c>
      <c r="D14" s="10">
        <f t="shared" si="0"/>
        <v>58521.789999999994</v>
      </c>
    </row>
    <row r="15" spans="1:4" ht="18" customHeight="1" x14ac:dyDescent="0.3">
      <c r="A15" s="11" t="s">
        <v>36</v>
      </c>
      <c r="B15" s="12">
        <v>41656.58</v>
      </c>
      <c r="C15" s="13">
        <v>19473.29</v>
      </c>
      <c r="D15" s="15">
        <f t="shared" si="0"/>
        <v>61129.87</v>
      </c>
    </row>
    <row r="16" spans="1:4" ht="18" customHeight="1" x14ac:dyDescent="0.3">
      <c r="A16" s="6" t="s">
        <v>37</v>
      </c>
      <c r="B16" s="7">
        <v>45802.51</v>
      </c>
      <c r="C16" s="8">
        <v>18156.939999999999</v>
      </c>
      <c r="D16" s="10">
        <f t="shared" si="0"/>
        <v>63959.45</v>
      </c>
    </row>
    <row r="17" spans="1:4" ht="18" customHeight="1" x14ac:dyDescent="0.3">
      <c r="A17" s="11" t="s">
        <v>38</v>
      </c>
      <c r="B17" s="12">
        <v>39850.33</v>
      </c>
      <c r="C17" s="13">
        <v>16828.099999999999</v>
      </c>
      <c r="D17" s="15">
        <f t="shared" si="0"/>
        <v>56678.43</v>
      </c>
    </row>
    <row r="18" spans="1:4" ht="18" customHeight="1" x14ac:dyDescent="0.3">
      <c r="A18" s="6" t="s">
        <v>39</v>
      </c>
      <c r="B18" s="7">
        <v>40464.18</v>
      </c>
      <c r="C18" s="8">
        <v>20047.75</v>
      </c>
      <c r="D18" s="10">
        <f t="shared" si="0"/>
        <v>60511.93</v>
      </c>
    </row>
    <row r="19" spans="1:4" ht="18" customHeight="1" x14ac:dyDescent="0.3">
      <c r="A19" s="11" t="s">
        <v>40</v>
      </c>
      <c r="B19" s="12">
        <v>47806.86</v>
      </c>
      <c r="C19" s="13">
        <v>17425.830000000002</v>
      </c>
      <c r="D19" s="15">
        <f t="shared" si="0"/>
        <v>65232.69</v>
      </c>
    </row>
    <row r="20" spans="1:4" ht="18" customHeight="1" x14ac:dyDescent="0.3">
      <c r="A20" s="6" t="s">
        <v>41</v>
      </c>
      <c r="B20" s="7">
        <v>35258.49</v>
      </c>
      <c r="C20" s="8">
        <v>19347.77</v>
      </c>
      <c r="D20" s="10">
        <f t="shared" si="0"/>
        <v>54606.259999999995</v>
      </c>
    </row>
    <row r="21" spans="1:4" ht="18" customHeight="1" x14ac:dyDescent="0.3">
      <c r="A21" s="11" t="s">
        <v>42</v>
      </c>
      <c r="B21" s="12">
        <v>41580.74</v>
      </c>
      <c r="C21" s="13">
        <v>19912.34</v>
      </c>
      <c r="D21" s="15">
        <f t="shared" si="0"/>
        <v>61493.08</v>
      </c>
    </row>
    <row r="22" spans="1:4" ht="18" customHeight="1" x14ac:dyDescent="0.3">
      <c r="A22" s="6" t="s">
        <v>43</v>
      </c>
      <c r="B22" s="7">
        <v>46247.71</v>
      </c>
      <c r="C22" s="8">
        <v>19799.2</v>
      </c>
      <c r="D22" s="10">
        <f t="shared" si="0"/>
        <v>66046.91</v>
      </c>
    </row>
    <row r="23" spans="1:4" ht="18" customHeight="1" x14ac:dyDescent="0.3">
      <c r="A23" s="11" t="s">
        <v>44</v>
      </c>
      <c r="B23" s="12">
        <v>39617.49</v>
      </c>
      <c r="C23" s="13">
        <v>20621.240000000002</v>
      </c>
      <c r="D23" s="15">
        <f t="shared" si="0"/>
        <v>60238.729999999996</v>
      </c>
    </row>
    <row r="24" spans="1:4" ht="18" customHeight="1" x14ac:dyDescent="0.3">
      <c r="A24" s="6" t="s">
        <v>45</v>
      </c>
      <c r="B24" s="7">
        <v>39916.83</v>
      </c>
      <c r="C24" s="8">
        <v>19661.689999999999</v>
      </c>
      <c r="D24" s="10">
        <f t="shared" si="0"/>
        <v>59578.520000000004</v>
      </c>
    </row>
    <row r="25" spans="1:4" ht="18" customHeight="1" x14ac:dyDescent="0.3">
      <c r="A25" s="11" t="s">
        <v>46</v>
      </c>
      <c r="B25" s="12">
        <v>41187.75</v>
      </c>
      <c r="C25" s="13">
        <v>15344.55</v>
      </c>
      <c r="D25" s="15">
        <f t="shared" si="0"/>
        <v>56532.3</v>
      </c>
    </row>
    <row r="26" spans="1:4" ht="18" customHeight="1" x14ac:dyDescent="0.3">
      <c r="A26" s="6" t="s">
        <v>47</v>
      </c>
      <c r="B26" s="7">
        <v>44483.95</v>
      </c>
      <c r="C26" s="8">
        <v>20895.71</v>
      </c>
      <c r="D26" s="10">
        <f t="shared" si="0"/>
        <v>65379.659999999996</v>
      </c>
    </row>
    <row r="27" spans="1:4" ht="18" customHeight="1" x14ac:dyDescent="0.3">
      <c r="A27" s="11" t="s">
        <v>48</v>
      </c>
      <c r="B27" s="12">
        <v>46389.15</v>
      </c>
      <c r="C27" s="13">
        <v>16894.96</v>
      </c>
      <c r="D27" s="15">
        <f t="shared" si="0"/>
        <v>63284.11</v>
      </c>
    </row>
    <row r="28" spans="1:4" ht="18" customHeight="1" x14ac:dyDescent="0.3">
      <c r="A28" s="6" t="s">
        <v>49</v>
      </c>
      <c r="B28" s="7">
        <v>38364.6</v>
      </c>
      <c r="C28" s="8">
        <v>15664.3</v>
      </c>
      <c r="D28" s="10">
        <f t="shared" si="0"/>
        <v>54028.899999999994</v>
      </c>
    </row>
    <row r="29" spans="1:4" ht="18" customHeight="1" x14ac:dyDescent="0.3">
      <c r="A29" s="11" t="s">
        <v>50</v>
      </c>
      <c r="B29" s="12">
        <v>48498.37</v>
      </c>
      <c r="C29" s="13">
        <v>18834.3</v>
      </c>
      <c r="D29" s="15">
        <f t="shared" si="0"/>
        <v>67332.67</v>
      </c>
    </row>
    <row r="30" spans="1:4" ht="18" customHeight="1" x14ac:dyDescent="0.3">
      <c r="A30" s="6" t="s">
        <v>51</v>
      </c>
      <c r="B30" s="7">
        <v>49050.58</v>
      </c>
      <c r="C30" s="8">
        <v>17940.830000000002</v>
      </c>
      <c r="D30" s="10">
        <f t="shared" si="0"/>
        <v>66991.41</v>
      </c>
    </row>
    <row r="31" spans="1:4" ht="18" customHeight="1" x14ac:dyDescent="0.3">
      <c r="A31" s="11" t="s">
        <v>52</v>
      </c>
      <c r="B31" s="12">
        <v>45815.11</v>
      </c>
      <c r="C31" s="13">
        <v>19968.59</v>
      </c>
      <c r="D31" s="15">
        <f t="shared" si="0"/>
        <v>65783.7</v>
      </c>
    </row>
    <row r="32" spans="1:4" ht="21.75" customHeight="1" x14ac:dyDescent="0.3">
      <c r="A32" s="16" t="s">
        <v>53</v>
      </c>
      <c r="B32" s="17">
        <f>SUM(B2:B31)</f>
        <v>1257314.5100000002</v>
      </c>
      <c r="C32" s="18">
        <f>SUM(C2:C31)</f>
        <v>544934.32000000007</v>
      </c>
      <c r="D32" s="20">
        <f>SUM(D2:D31)</f>
        <v>1802248.8299999998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3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8.6640625" defaultRowHeight="14.4" x14ac:dyDescent="0.3"/>
  <cols>
    <col min="1" max="1" width="16" customWidth="1"/>
    <col min="2" max="23" width="18" customWidth="1"/>
  </cols>
  <sheetData>
    <row r="1" spans="1:23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4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4" t="s">
        <v>18</v>
      </c>
      <c r="T1" s="2" t="s">
        <v>19</v>
      </c>
      <c r="U1" s="3" t="s">
        <v>20</v>
      </c>
      <c r="V1" s="4" t="s">
        <v>21</v>
      </c>
      <c r="W1" s="5" t="s">
        <v>22</v>
      </c>
    </row>
    <row r="2" spans="1:23" ht="18" customHeight="1" x14ac:dyDescent="0.3">
      <c r="A2" s="6" t="s">
        <v>56</v>
      </c>
      <c r="B2" s="7">
        <v>82980.7</v>
      </c>
      <c r="C2" s="8">
        <v>29926.77</v>
      </c>
      <c r="D2" s="9">
        <f t="shared" ref="D2:D32" si="0">B2+C2</f>
        <v>112907.47</v>
      </c>
      <c r="E2" s="7">
        <v>7213.76</v>
      </c>
      <c r="F2" s="8">
        <v>2772.01</v>
      </c>
      <c r="G2" s="9">
        <f t="shared" ref="G2:G32" si="1">E2+F2</f>
        <v>9985.77</v>
      </c>
      <c r="H2" s="7">
        <v>11911.5</v>
      </c>
      <c r="I2" s="8">
        <v>6627.57</v>
      </c>
      <c r="J2" s="9">
        <f t="shared" ref="J2:J32" si="2">H2+I2</f>
        <v>18539.07</v>
      </c>
      <c r="K2" s="7">
        <v>15187.3</v>
      </c>
      <c r="L2" s="8">
        <v>8076.74</v>
      </c>
      <c r="M2" s="9">
        <f t="shared" ref="M2:M32" si="3">K2+L2</f>
        <v>23264.04</v>
      </c>
      <c r="N2" s="7">
        <v>15363.37</v>
      </c>
      <c r="O2" s="8">
        <v>8252.64</v>
      </c>
      <c r="P2" s="9">
        <f t="shared" ref="P2:P32" si="4">N2+O2</f>
        <v>23616.010000000002</v>
      </c>
      <c r="Q2" s="7">
        <v>6335.15</v>
      </c>
      <c r="R2" s="8">
        <v>3136.32</v>
      </c>
      <c r="S2" s="9">
        <f t="shared" ref="S2:S32" si="5">Q2+R2</f>
        <v>9471.4699999999993</v>
      </c>
      <c r="T2" s="7">
        <v>8951.31</v>
      </c>
      <c r="U2" s="8">
        <v>4249.1899999999996</v>
      </c>
      <c r="V2" s="9">
        <f t="shared" ref="V2:V32" si="6">T2+U2</f>
        <v>13200.5</v>
      </c>
      <c r="W2" s="10">
        <f t="shared" ref="W2:W32" si="7">D2+G2+J2+M2+P2+S2+V2</f>
        <v>210984.33000000002</v>
      </c>
    </row>
    <row r="3" spans="1:23" ht="18" customHeight="1" x14ac:dyDescent="0.3">
      <c r="A3" s="11" t="s">
        <v>57</v>
      </c>
      <c r="B3" s="12">
        <v>70431.240000000005</v>
      </c>
      <c r="C3" s="13">
        <v>24871.93</v>
      </c>
      <c r="D3" s="14">
        <f t="shared" si="0"/>
        <v>95303.170000000013</v>
      </c>
      <c r="E3" s="12">
        <v>6928.39</v>
      </c>
      <c r="F3" s="13">
        <v>3157.76</v>
      </c>
      <c r="G3" s="14">
        <f t="shared" si="1"/>
        <v>10086.150000000001</v>
      </c>
      <c r="H3" s="12">
        <v>10267.540000000001</v>
      </c>
      <c r="I3" s="13">
        <v>6883.89</v>
      </c>
      <c r="J3" s="14">
        <f t="shared" si="2"/>
        <v>17151.43</v>
      </c>
      <c r="K3" s="12">
        <v>14406.56</v>
      </c>
      <c r="L3" s="13">
        <v>7323.97</v>
      </c>
      <c r="M3" s="14">
        <f t="shared" si="3"/>
        <v>21730.53</v>
      </c>
      <c r="N3" s="12">
        <v>19581.41</v>
      </c>
      <c r="O3" s="13">
        <v>9710.7999999999993</v>
      </c>
      <c r="P3" s="14">
        <f t="shared" si="4"/>
        <v>29292.21</v>
      </c>
      <c r="Q3" s="12">
        <v>5693.07</v>
      </c>
      <c r="R3" s="13">
        <v>2332.84</v>
      </c>
      <c r="S3" s="14">
        <f t="shared" si="5"/>
        <v>8025.91</v>
      </c>
      <c r="T3" s="12">
        <v>10128.879999999999</v>
      </c>
      <c r="U3" s="13">
        <v>4536.97</v>
      </c>
      <c r="V3" s="14">
        <f t="shared" si="6"/>
        <v>14665.849999999999</v>
      </c>
      <c r="W3" s="15">
        <f t="shared" si="7"/>
        <v>196255.25</v>
      </c>
    </row>
    <row r="4" spans="1:23" ht="18" customHeight="1" x14ac:dyDescent="0.3">
      <c r="A4" s="6" t="s">
        <v>58</v>
      </c>
      <c r="B4" s="7">
        <v>83227.05</v>
      </c>
      <c r="C4" s="8">
        <v>32095.89</v>
      </c>
      <c r="D4" s="9">
        <f t="shared" si="0"/>
        <v>115322.94</v>
      </c>
      <c r="E4" s="7">
        <v>8846.31</v>
      </c>
      <c r="F4" s="8">
        <v>3071.4</v>
      </c>
      <c r="G4" s="9">
        <f t="shared" si="1"/>
        <v>11917.71</v>
      </c>
      <c r="H4" s="7">
        <v>10013.290000000001</v>
      </c>
      <c r="I4" s="8">
        <v>6707.62</v>
      </c>
      <c r="J4" s="9">
        <f t="shared" si="2"/>
        <v>16720.91</v>
      </c>
      <c r="K4" s="7">
        <v>12708.69</v>
      </c>
      <c r="L4" s="8">
        <v>6287.18</v>
      </c>
      <c r="M4" s="9">
        <f t="shared" si="3"/>
        <v>18995.870000000003</v>
      </c>
      <c r="N4" s="7">
        <v>17851.2</v>
      </c>
      <c r="O4" s="8">
        <v>9454.08</v>
      </c>
      <c r="P4" s="9">
        <f t="shared" si="4"/>
        <v>27305.279999999999</v>
      </c>
      <c r="Q4" s="7">
        <v>4835.3500000000004</v>
      </c>
      <c r="R4" s="8">
        <v>2779.86</v>
      </c>
      <c r="S4" s="9">
        <f t="shared" si="5"/>
        <v>7615.2100000000009</v>
      </c>
      <c r="T4" s="7">
        <v>10353.25</v>
      </c>
      <c r="U4" s="8">
        <v>4112.12</v>
      </c>
      <c r="V4" s="9">
        <f t="shared" si="6"/>
        <v>14465.369999999999</v>
      </c>
      <c r="W4" s="10">
        <f t="shared" si="7"/>
        <v>212343.28999999998</v>
      </c>
    </row>
    <row r="5" spans="1:23" ht="18" customHeight="1" x14ac:dyDescent="0.3">
      <c r="A5" s="11" t="s">
        <v>59</v>
      </c>
      <c r="B5" s="12">
        <v>0</v>
      </c>
      <c r="C5" s="13">
        <v>31703.03</v>
      </c>
      <c r="D5" s="14">
        <f t="shared" si="0"/>
        <v>31703.03</v>
      </c>
      <c r="E5" s="12">
        <v>9214.84</v>
      </c>
      <c r="F5" s="13">
        <v>2766.97</v>
      </c>
      <c r="G5" s="14">
        <f t="shared" si="1"/>
        <v>11981.81</v>
      </c>
      <c r="H5" s="12">
        <v>12399.22</v>
      </c>
      <c r="I5" s="13">
        <v>7240.81</v>
      </c>
      <c r="J5" s="14">
        <f t="shared" si="2"/>
        <v>19640.03</v>
      </c>
      <c r="K5" s="12">
        <v>13233.29</v>
      </c>
      <c r="L5" s="13">
        <v>8146.71</v>
      </c>
      <c r="M5" s="14">
        <f t="shared" si="3"/>
        <v>21380</v>
      </c>
      <c r="N5" s="12">
        <v>17259.79</v>
      </c>
      <c r="O5" s="13">
        <v>10034.92</v>
      </c>
      <c r="P5" s="14">
        <f t="shared" si="4"/>
        <v>27294.71</v>
      </c>
      <c r="Q5" s="12">
        <v>6188.45</v>
      </c>
      <c r="R5" s="13">
        <v>2850.3</v>
      </c>
      <c r="S5" s="14">
        <f t="shared" si="5"/>
        <v>9038.75</v>
      </c>
      <c r="T5" s="12">
        <v>8244</v>
      </c>
      <c r="U5" s="13">
        <v>4720.25</v>
      </c>
      <c r="V5" s="14">
        <f t="shared" si="6"/>
        <v>12964.25</v>
      </c>
      <c r="W5" s="15">
        <f t="shared" si="7"/>
        <v>134002.57999999999</v>
      </c>
    </row>
    <row r="6" spans="1:23" ht="18" customHeight="1" x14ac:dyDescent="0.3">
      <c r="A6" s="6" t="s">
        <v>60</v>
      </c>
      <c r="B6" s="7">
        <v>68632.33</v>
      </c>
      <c r="C6" s="8">
        <v>27997.599999999999</v>
      </c>
      <c r="D6" s="9">
        <f t="shared" si="0"/>
        <v>96629.93</v>
      </c>
      <c r="E6" s="7">
        <v>6585.75</v>
      </c>
      <c r="F6" s="8">
        <v>3182.79</v>
      </c>
      <c r="G6" s="9">
        <f t="shared" si="1"/>
        <v>9768.5400000000009</v>
      </c>
      <c r="H6" s="7">
        <v>9640.8700000000008</v>
      </c>
      <c r="I6" s="8">
        <v>6292.45</v>
      </c>
      <c r="J6" s="9">
        <f t="shared" si="2"/>
        <v>15933.32</v>
      </c>
      <c r="K6" s="7">
        <v>15670.6</v>
      </c>
      <c r="L6" s="8">
        <v>6837.82</v>
      </c>
      <c r="M6" s="9">
        <f t="shared" si="3"/>
        <v>22508.42</v>
      </c>
      <c r="N6" s="7">
        <v>15717.98</v>
      </c>
      <c r="O6" s="8">
        <v>9056.43</v>
      </c>
      <c r="P6" s="9">
        <f t="shared" si="4"/>
        <v>24774.41</v>
      </c>
      <c r="Q6" s="7">
        <v>0</v>
      </c>
      <c r="R6" s="8">
        <v>3249.07</v>
      </c>
      <c r="S6" s="9">
        <f t="shared" si="5"/>
        <v>3249.07</v>
      </c>
      <c r="T6" s="7">
        <v>8761.25</v>
      </c>
      <c r="U6" s="8">
        <v>5206.91</v>
      </c>
      <c r="V6" s="9">
        <f t="shared" si="6"/>
        <v>13968.16</v>
      </c>
      <c r="W6" s="10">
        <f t="shared" si="7"/>
        <v>186831.85000000003</v>
      </c>
    </row>
    <row r="7" spans="1:23" ht="18" customHeight="1" x14ac:dyDescent="0.3">
      <c r="A7" s="11" t="s">
        <v>61</v>
      </c>
      <c r="B7" s="12">
        <v>58678.400000000001</v>
      </c>
      <c r="C7" s="13">
        <v>29683.200000000001</v>
      </c>
      <c r="D7" s="14">
        <f t="shared" si="0"/>
        <v>88361.600000000006</v>
      </c>
      <c r="E7" s="12">
        <v>6752.7</v>
      </c>
      <c r="F7" s="13">
        <v>3354.08</v>
      </c>
      <c r="G7" s="14">
        <f t="shared" si="1"/>
        <v>10106.779999999999</v>
      </c>
      <c r="H7" s="12">
        <v>9715.51</v>
      </c>
      <c r="I7" s="13">
        <v>6253.83</v>
      </c>
      <c r="J7" s="14">
        <f t="shared" si="2"/>
        <v>15969.34</v>
      </c>
      <c r="K7" s="12">
        <v>13920.66</v>
      </c>
      <c r="L7" s="13">
        <v>7030.42</v>
      </c>
      <c r="M7" s="14">
        <f t="shared" si="3"/>
        <v>20951.080000000002</v>
      </c>
      <c r="N7" s="12">
        <v>20028.95</v>
      </c>
      <c r="O7" s="13">
        <v>8968.6200000000008</v>
      </c>
      <c r="P7" s="14">
        <f t="shared" si="4"/>
        <v>28997.57</v>
      </c>
      <c r="Q7" s="12">
        <v>5255.78</v>
      </c>
      <c r="R7" s="13">
        <v>3187.73</v>
      </c>
      <c r="S7" s="14">
        <f t="shared" si="5"/>
        <v>8443.51</v>
      </c>
      <c r="T7" s="12">
        <v>9864.9599999999991</v>
      </c>
      <c r="U7" s="13">
        <v>4582.4399999999996</v>
      </c>
      <c r="V7" s="14">
        <f t="shared" si="6"/>
        <v>14447.399999999998</v>
      </c>
      <c r="W7" s="15">
        <f t="shared" si="7"/>
        <v>187277.28</v>
      </c>
    </row>
    <row r="8" spans="1:23" ht="18" customHeight="1" x14ac:dyDescent="0.3">
      <c r="A8" s="6" t="s">
        <v>62</v>
      </c>
      <c r="B8" s="7">
        <v>70315.58</v>
      </c>
      <c r="C8" s="8">
        <v>25471.72</v>
      </c>
      <c r="D8" s="9">
        <f t="shared" si="0"/>
        <v>95787.3</v>
      </c>
      <c r="E8" s="7">
        <v>8204.7999999999993</v>
      </c>
      <c r="F8" s="8">
        <v>3123.18</v>
      </c>
      <c r="G8" s="9">
        <f t="shared" si="1"/>
        <v>11327.98</v>
      </c>
      <c r="H8" s="7">
        <v>10500.12</v>
      </c>
      <c r="I8" s="8">
        <v>7083.36</v>
      </c>
      <c r="J8" s="9">
        <f t="shared" si="2"/>
        <v>17583.48</v>
      </c>
      <c r="K8" s="7">
        <v>11584.96</v>
      </c>
      <c r="L8" s="8">
        <v>5740.32</v>
      </c>
      <c r="M8" s="9">
        <f t="shared" si="3"/>
        <v>17325.28</v>
      </c>
      <c r="N8" s="7">
        <v>15503.23</v>
      </c>
      <c r="O8" s="8">
        <v>7925.38</v>
      </c>
      <c r="P8" s="9">
        <f t="shared" si="4"/>
        <v>23428.61</v>
      </c>
      <c r="Q8" s="7">
        <v>4653.1400000000003</v>
      </c>
      <c r="R8" s="8">
        <v>2996.63</v>
      </c>
      <c r="S8" s="9">
        <f t="shared" si="5"/>
        <v>7649.77</v>
      </c>
      <c r="T8" s="7">
        <v>7611.79</v>
      </c>
      <c r="U8" s="8">
        <v>4333.8</v>
      </c>
      <c r="V8" s="9">
        <f t="shared" si="6"/>
        <v>11945.59</v>
      </c>
      <c r="W8" s="10">
        <f t="shared" si="7"/>
        <v>185048.00999999995</v>
      </c>
    </row>
    <row r="9" spans="1:23" ht="18" customHeight="1" x14ac:dyDescent="0.3">
      <c r="A9" s="11" t="s">
        <v>63</v>
      </c>
      <c r="B9" s="12">
        <v>60194.95</v>
      </c>
      <c r="C9" s="13">
        <v>0</v>
      </c>
      <c r="D9" s="14">
        <f t="shared" si="0"/>
        <v>60194.95</v>
      </c>
      <c r="E9" s="12">
        <v>9126.2999999999993</v>
      </c>
      <c r="F9" s="13">
        <v>3225.54</v>
      </c>
      <c r="G9" s="14">
        <f t="shared" si="1"/>
        <v>12351.84</v>
      </c>
      <c r="H9" s="12">
        <v>11735.87</v>
      </c>
      <c r="I9" s="13">
        <v>5703.99</v>
      </c>
      <c r="J9" s="14">
        <f t="shared" si="2"/>
        <v>17439.86</v>
      </c>
      <c r="K9" s="12">
        <v>15756.34</v>
      </c>
      <c r="L9" s="13">
        <v>7165.8</v>
      </c>
      <c r="M9" s="14">
        <f t="shared" si="3"/>
        <v>22922.14</v>
      </c>
      <c r="N9" s="12">
        <v>16994.740000000002</v>
      </c>
      <c r="O9" s="13">
        <v>8385.9699999999993</v>
      </c>
      <c r="P9" s="14">
        <f t="shared" si="4"/>
        <v>25380.71</v>
      </c>
      <c r="Q9" s="12">
        <v>5750.82</v>
      </c>
      <c r="R9" s="13">
        <v>3089.52</v>
      </c>
      <c r="S9" s="14">
        <f t="shared" si="5"/>
        <v>8840.34</v>
      </c>
      <c r="T9" s="12">
        <v>7953.62</v>
      </c>
      <c r="U9" s="13">
        <v>4332</v>
      </c>
      <c r="V9" s="14">
        <f t="shared" si="6"/>
        <v>12285.619999999999</v>
      </c>
      <c r="W9" s="15">
        <f t="shared" si="7"/>
        <v>159415.46</v>
      </c>
    </row>
    <row r="10" spans="1:23" ht="18" customHeight="1" x14ac:dyDescent="0.3">
      <c r="A10" s="6" t="s">
        <v>64</v>
      </c>
      <c r="B10" s="7">
        <v>64857.46</v>
      </c>
      <c r="C10" s="8">
        <v>29482.67</v>
      </c>
      <c r="D10" s="9">
        <f t="shared" si="0"/>
        <v>94340.13</v>
      </c>
      <c r="E10" s="7">
        <v>8410.1299999999992</v>
      </c>
      <c r="F10" s="8">
        <v>3635.23</v>
      </c>
      <c r="G10" s="9">
        <f t="shared" si="1"/>
        <v>12045.359999999999</v>
      </c>
      <c r="H10" s="7">
        <v>12579.4</v>
      </c>
      <c r="I10" s="8">
        <v>6305.53</v>
      </c>
      <c r="J10" s="9">
        <f t="shared" si="2"/>
        <v>18884.93</v>
      </c>
      <c r="K10" s="7">
        <v>14740.39</v>
      </c>
      <c r="L10" s="8">
        <v>6621.55</v>
      </c>
      <c r="M10" s="9">
        <f t="shared" si="3"/>
        <v>21361.94</v>
      </c>
      <c r="N10" s="7">
        <v>18205.310000000001</v>
      </c>
      <c r="O10" s="8">
        <v>10164.36</v>
      </c>
      <c r="P10" s="9">
        <f t="shared" si="4"/>
        <v>28369.670000000002</v>
      </c>
      <c r="Q10" s="7">
        <v>5460.99</v>
      </c>
      <c r="R10" s="8">
        <v>3179.02</v>
      </c>
      <c r="S10" s="9">
        <f t="shared" si="5"/>
        <v>8640.01</v>
      </c>
      <c r="T10" s="7">
        <v>8570.82</v>
      </c>
      <c r="U10" s="8">
        <v>3937.54</v>
      </c>
      <c r="V10" s="9">
        <f t="shared" si="6"/>
        <v>12508.36</v>
      </c>
      <c r="W10" s="10">
        <f t="shared" si="7"/>
        <v>196150.40000000002</v>
      </c>
    </row>
    <row r="11" spans="1:23" ht="18" customHeight="1" x14ac:dyDescent="0.3">
      <c r="A11" s="11" t="s">
        <v>65</v>
      </c>
      <c r="B11" s="12">
        <v>69272.42</v>
      </c>
      <c r="C11" s="13">
        <v>32400.45</v>
      </c>
      <c r="D11" s="14">
        <f t="shared" si="0"/>
        <v>101672.87</v>
      </c>
      <c r="E11" s="12">
        <v>8895.16</v>
      </c>
      <c r="F11" s="13">
        <v>3037.56</v>
      </c>
      <c r="G11" s="14">
        <f t="shared" si="1"/>
        <v>11932.72</v>
      </c>
      <c r="H11" s="12">
        <v>10408.85</v>
      </c>
      <c r="I11" s="13">
        <v>6933.04</v>
      </c>
      <c r="J11" s="14">
        <f t="shared" si="2"/>
        <v>17341.89</v>
      </c>
      <c r="K11" s="12">
        <v>16091.35</v>
      </c>
      <c r="L11" s="13">
        <v>6864.37</v>
      </c>
      <c r="M11" s="14">
        <f t="shared" si="3"/>
        <v>22955.72</v>
      </c>
      <c r="N11" s="12">
        <v>17653.78</v>
      </c>
      <c r="O11" s="13">
        <v>7846.85</v>
      </c>
      <c r="P11" s="14">
        <f t="shared" si="4"/>
        <v>25500.629999999997</v>
      </c>
      <c r="Q11" s="12">
        <v>5224.53</v>
      </c>
      <c r="R11" s="13">
        <v>2583.42</v>
      </c>
      <c r="S11" s="14">
        <f t="shared" si="5"/>
        <v>7807.95</v>
      </c>
      <c r="T11" s="12">
        <v>8275.7800000000007</v>
      </c>
      <c r="U11" s="13">
        <v>3806.09</v>
      </c>
      <c r="V11" s="14">
        <f t="shared" si="6"/>
        <v>12081.87</v>
      </c>
      <c r="W11" s="15">
        <f t="shared" si="7"/>
        <v>199293.65000000002</v>
      </c>
    </row>
    <row r="12" spans="1:23" ht="18" customHeight="1" x14ac:dyDescent="0.3">
      <c r="A12" s="6" t="s">
        <v>66</v>
      </c>
      <c r="B12" s="7">
        <v>73493.94</v>
      </c>
      <c r="C12" s="8">
        <v>28103.33</v>
      </c>
      <c r="D12" s="9">
        <f t="shared" si="0"/>
        <v>101597.27</v>
      </c>
      <c r="E12" s="7">
        <v>6740.13</v>
      </c>
      <c r="F12" s="8">
        <v>3027.65</v>
      </c>
      <c r="G12" s="9">
        <f t="shared" si="1"/>
        <v>9767.7800000000007</v>
      </c>
      <c r="H12" s="7">
        <v>10723.63</v>
      </c>
      <c r="I12" s="8">
        <v>6754.98</v>
      </c>
      <c r="J12" s="9">
        <f t="shared" si="2"/>
        <v>17478.61</v>
      </c>
      <c r="K12" s="7">
        <v>14253.01</v>
      </c>
      <c r="L12" s="8">
        <v>7295.22</v>
      </c>
      <c r="M12" s="9">
        <f t="shared" si="3"/>
        <v>21548.23</v>
      </c>
      <c r="N12" s="7">
        <v>18998.099999999999</v>
      </c>
      <c r="O12" s="8">
        <v>9956.17</v>
      </c>
      <c r="P12" s="9">
        <f t="shared" si="4"/>
        <v>28954.269999999997</v>
      </c>
      <c r="Q12" s="7">
        <v>4971.8900000000003</v>
      </c>
      <c r="R12" s="8">
        <v>2744.36</v>
      </c>
      <c r="S12" s="9">
        <f t="shared" si="5"/>
        <v>7716.25</v>
      </c>
      <c r="T12" s="7">
        <v>8854.18</v>
      </c>
      <c r="U12" s="8">
        <v>5236.08</v>
      </c>
      <c r="V12" s="9">
        <f t="shared" si="6"/>
        <v>14090.26</v>
      </c>
      <c r="W12" s="10">
        <f t="shared" si="7"/>
        <v>201152.67</v>
      </c>
    </row>
    <row r="13" spans="1:23" ht="18" customHeight="1" x14ac:dyDescent="0.3">
      <c r="A13" s="11" t="s">
        <v>67</v>
      </c>
      <c r="B13" s="12">
        <v>65920.36</v>
      </c>
      <c r="C13" s="13">
        <v>26799.83</v>
      </c>
      <c r="D13" s="14">
        <f t="shared" si="0"/>
        <v>92720.19</v>
      </c>
      <c r="E13" s="12">
        <v>8582.36</v>
      </c>
      <c r="F13" s="13">
        <v>2546.04</v>
      </c>
      <c r="G13" s="14">
        <f t="shared" si="1"/>
        <v>11128.400000000001</v>
      </c>
      <c r="H13" s="12">
        <v>10357.92</v>
      </c>
      <c r="I13" s="13">
        <v>0</v>
      </c>
      <c r="J13" s="14">
        <f t="shared" si="2"/>
        <v>10357.92</v>
      </c>
      <c r="K13" s="12">
        <v>11972.79</v>
      </c>
      <c r="L13" s="13">
        <v>7074.1</v>
      </c>
      <c r="M13" s="14">
        <f t="shared" si="3"/>
        <v>19046.89</v>
      </c>
      <c r="N13" s="12">
        <v>20767.759999999998</v>
      </c>
      <c r="O13" s="13">
        <v>8077.09</v>
      </c>
      <c r="P13" s="14">
        <f t="shared" si="4"/>
        <v>28844.85</v>
      </c>
      <c r="Q13" s="12">
        <v>5712.34</v>
      </c>
      <c r="R13" s="13">
        <v>2654.99</v>
      </c>
      <c r="S13" s="14">
        <f t="shared" si="5"/>
        <v>8367.33</v>
      </c>
      <c r="T13" s="12">
        <v>10440.780000000001</v>
      </c>
      <c r="U13" s="13">
        <v>5176.21</v>
      </c>
      <c r="V13" s="14">
        <f t="shared" si="6"/>
        <v>15616.990000000002</v>
      </c>
      <c r="W13" s="15">
        <f t="shared" si="7"/>
        <v>186082.56999999998</v>
      </c>
    </row>
    <row r="14" spans="1:23" ht="18" customHeight="1" x14ac:dyDescent="0.3">
      <c r="A14" s="6" t="s">
        <v>68</v>
      </c>
      <c r="B14" s="7">
        <v>61586.13</v>
      </c>
      <c r="C14" s="8">
        <v>0</v>
      </c>
      <c r="D14" s="9">
        <f t="shared" si="0"/>
        <v>61586.13</v>
      </c>
      <c r="E14" s="7">
        <v>7271.79</v>
      </c>
      <c r="F14" s="8">
        <v>3064.65</v>
      </c>
      <c r="G14" s="9">
        <f t="shared" si="1"/>
        <v>10336.44</v>
      </c>
      <c r="H14" s="7">
        <v>10772.81</v>
      </c>
      <c r="I14" s="8">
        <v>5718.4</v>
      </c>
      <c r="J14" s="9">
        <f t="shared" si="2"/>
        <v>16491.21</v>
      </c>
      <c r="K14" s="7">
        <v>15591.96</v>
      </c>
      <c r="L14" s="8">
        <v>8167.99</v>
      </c>
      <c r="M14" s="9">
        <f t="shared" si="3"/>
        <v>23759.949999999997</v>
      </c>
      <c r="N14" s="7">
        <v>19473.060000000001</v>
      </c>
      <c r="O14" s="8">
        <v>10160.049999999999</v>
      </c>
      <c r="P14" s="9">
        <f t="shared" si="4"/>
        <v>29633.11</v>
      </c>
      <c r="Q14" s="7">
        <v>4568.63</v>
      </c>
      <c r="R14" s="8">
        <v>3154.12</v>
      </c>
      <c r="S14" s="9">
        <f t="shared" si="5"/>
        <v>7722.75</v>
      </c>
      <c r="T14" s="7">
        <v>10057.5</v>
      </c>
      <c r="U14" s="8">
        <v>4271.6499999999996</v>
      </c>
      <c r="V14" s="9">
        <f t="shared" si="6"/>
        <v>14329.15</v>
      </c>
      <c r="W14" s="10">
        <f t="shared" si="7"/>
        <v>163858.74</v>
      </c>
    </row>
    <row r="15" spans="1:23" ht="18" customHeight="1" x14ac:dyDescent="0.3">
      <c r="A15" s="11" t="s">
        <v>69</v>
      </c>
      <c r="B15" s="12">
        <v>64061.11</v>
      </c>
      <c r="C15" s="13">
        <v>34960.93</v>
      </c>
      <c r="D15" s="14">
        <f t="shared" si="0"/>
        <v>99022.040000000008</v>
      </c>
      <c r="E15" s="12">
        <v>8770.92</v>
      </c>
      <c r="F15" s="13">
        <v>2954.44</v>
      </c>
      <c r="G15" s="14">
        <f t="shared" si="1"/>
        <v>11725.36</v>
      </c>
      <c r="H15" s="12">
        <v>10539.73</v>
      </c>
      <c r="I15" s="13">
        <v>0</v>
      </c>
      <c r="J15" s="14">
        <f t="shared" si="2"/>
        <v>10539.73</v>
      </c>
      <c r="K15" s="12">
        <v>12130.56</v>
      </c>
      <c r="L15" s="13">
        <v>8211.18</v>
      </c>
      <c r="M15" s="14">
        <f t="shared" si="3"/>
        <v>20341.739999999998</v>
      </c>
      <c r="N15" s="12">
        <v>16507.68</v>
      </c>
      <c r="O15" s="13">
        <v>9136.2800000000007</v>
      </c>
      <c r="P15" s="14">
        <f t="shared" si="4"/>
        <v>25643.96</v>
      </c>
      <c r="Q15" s="12">
        <v>4796.43</v>
      </c>
      <c r="R15" s="13">
        <v>3199.41</v>
      </c>
      <c r="S15" s="14">
        <f t="shared" si="5"/>
        <v>7995.84</v>
      </c>
      <c r="T15" s="12">
        <v>9541.2999999999993</v>
      </c>
      <c r="U15" s="13">
        <v>3690.74</v>
      </c>
      <c r="V15" s="14">
        <f t="shared" si="6"/>
        <v>13232.039999999999</v>
      </c>
      <c r="W15" s="15">
        <f t="shared" si="7"/>
        <v>188500.71</v>
      </c>
    </row>
    <row r="16" spans="1:23" ht="18" customHeight="1" x14ac:dyDescent="0.3">
      <c r="A16" s="6" t="s">
        <v>70</v>
      </c>
      <c r="B16" s="7">
        <v>0</v>
      </c>
      <c r="C16" s="8">
        <v>34519.33</v>
      </c>
      <c r="D16" s="9">
        <f t="shared" si="0"/>
        <v>34519.33</v>
      </c>
      <c r="E16" s="7">
        <v>7905.35</v>
      </c>
      <c r="F16" s="8">
        <v>3130.08</v>
      </c>
      <c r="G16" s="9">
        <f t="shared" si="1"/>
        <v>11035.43</v>
      </c>
      <c r="H16" s="7">
        <v>10304.36</v>
      </c>
      <c r="I16" s="8">
        <v>0</v>
      </c>
      <c r="J16" s="9">
        <f t="shared" si="2"/>
        <v>10304.36</v>
      </c>
      <c r="K16" s="7">
        <v>13835.48</v>
      </c>
      <c r="L16" s="8">
        <v>6297.76</v>
      </c>
      <c r="M16" s="9">
        <f t="shared" si="3"/>
        <v>20133.239999999998</v>
      </c>
      <c r="N16" s="7">
        <v>14940.41</v>
      </c>
      <c r="O16" s="8">
        <v>10563.31</v>
      </c>
      <c r="P16" s="9">
        <f t="shared" si="4"/>
        <v>25503.72</v>
      </c>
      <c r="Q16" s="7">
        <v>0</v>
      </c>
      <c r="R16" s="8">
        <v>2755.63</v>
      </c>
      <c r="S16" s="9">
        <f t="shared" si="5"/>
        <v>2755.63</v>
      </c>
      <c r="T16" s="7">
        <v>8367.5</v>
      </c>
      <c r="U16" s="8">
        <v>4998.49</v>
      </c>
      <c r="V16" s="9">
        <f t="shared" si="6"/>
        <v>13365.99</v>
      </c>
      <c r="W16" s="10">
        <f t="shared" si="7"/>
        <v>117617.70000000001</v>
      </c>
    </row>
    <row r="17" spans="1:23" ht="18" customHeight="1" x14ac:dyDescent="0.3">
      <c r="A17" s="11" t="s">
        <v>71</v>
      </c>
      <c r="B17" s="12">
        <v>69248.259999999995</v>
      </c>
      <c r="C17" s="13">
        <v>26288.38</v>
      </c>
      <c r="D17" s="14">
        <f t="shared" si="0"/>
        <v>95536.639999999999</v>
      </c>
      <c r="E17" s="12">
        <v>8343.1299999999992</v>
      </c>
      <c r="F17" s="13">
        <v>3136.81</v>
      </c>
      <c r="G17" s="14">
        <f t="shared" si="1"/>
        <v>11479.939999999999</v>
      </c>
      <c r="H17" s="12">
        <v>9379.5</v>
      </c>
      <c r="I17" s="13">
        <v>6062.69</v>
      </c>
      <c r="J17" s="14">
        <f t="shared" si="2"/>
        <v>15442.189999999999</v>
      </c>
      <c r="K17" s="12">
        <v>11911.64</v>
      </c>
      <c r="L17" s="13">
        <v>6801.72</v>
      </c>
      <c r="M17" s="14">
        <f t="shared" si="3"/>
        <v>18713.36</v>
      </c>
      <c r="N17" s="12">
        <v>17299.919999999998</v>
      </c>
      <c r="O17" s="13">
        <v>8171.29</v>
      </c>
      <c r="P17" s="14">
        <f t="shared" si="4"/>
        <v>25471.21</v>
      </c>
      <c r="Q17" s="12">
        <v>5347.35</v>
      </c>
      <c r="R17" s="13">
        <v>2427.9</v>
      </c>
      <c r="S17" s="14">
        <f t="shared" si="5"/>
        <v>7775.25</v>
      </c>
      <c r="T17" s="12">
        <v>8849.91</v>
      </c>
      <c r="U17" s="13">
        <v>4067.04</v>
      </c>
      <c r="V17" s="14">
        <f t="shared" si="6"/>
        <v>12916.95</v>
      </c>
      <c r="W17" s="15">
        <f t="shared" si="7"/>
        <v>187335.54</v>
      </c>
    </row>
    <row r="18" spans="1:23" ht="18" customHeight="1" x14ac:dyDescent="0.3">
      <c r="A18" s="6" t="s">
        <v>72</v>
      </c>
      <c r="B18" s="7">
        <v>83399.199999999997</v>
      </c>
      <c r="C18" s="8">
        <v>35094.339999999997</v>
      </c>
      <c r="D18" s="9">
        <f t="shared" si="0"/>
        <v>118493.54</v>
      </c>
      <c r="E18" s="7">
        <v>7850.58</v>
      </c>
      <c r="F18" s="8">
        <v>3096.29</v>
      </c>
      <c r="G18" s="9">
        <f t="shared" si="1"/>
        <v>10946.869999999999</v>
      </c>
      <c r="H18" s="7">
        <v>9024.1299999999992</v>
      </c>
      <c r="I18" s="8">
        <v>7044.79</v>
      </c>
      <c r="J18" s="9">
        <f t="shared" si="2"/>
        <v>16068.919999999998</v>
      </c>
      <c r="K18" s="7">
        <v>14518.82</v>
      </c>
      <c r="L18" s="8">
        <v>5991.15</v>
      </c>
      <c r="M18" s="9">
        <f t="shared" si="3"/>
        <v>20509.97</v>
      </c>
      <c r="N18" s="7">
        <v>16691.12</v>
      </c>
      <c r="O18" s="8">
        <v>9086.81</v>
      </c>
      <c r="P18" s="9">
        <f t="shared" si="4"/>
        <v>25777.93</v>
      </c>
      <c r="Q18" s="7">
        <v>6331.48</v>
      </c>
      <c r="R18" s="8">
        <v>0</v>
      </c>
      <c r="S18" s="9">
        <f t="shared" si="5"/>
        <v>6331.48</v>
      </c>
      <c r="T18" s="7">
        <v>8293.75</v>
      </c>
      <c r="U18" s="8">
        <v>4673.66</v>
      </c>
      <c r="V18" s="9">
        <f t="shared" si="6"/>
        <v>12967.41</v>
      </c>
      <c r="W18" s="10">
        <f t="shared" si="7"/>
        <v>211096.12</v>
      </c>
    </row>
    <row r="19" spans="1:23" ht="18" customHeight="1" x14ac:dyDescent="0.3">
      <c r="A19" s="11" t="s">
        <v>73</v>
      </c>
      <c r="B19" s="12">
        <v>63741.77</v>
      </c>
      <c r="C19" s="13">
        <v>33864.25</v>
      </c>
      <c r="D19" s="14">
        <f t="shared" si="0"/>
        <v>97606.01999999999</v>
      </c>
      <c r="E19" s="12">
        <v>8258.09</v>
      </c>
      <c r="F19" s="13">
        <v>3540.58</v>
      </c>
      <c r="G19" s="14">
        <f t="shared" si="1"/>
        <v>11798.67</v>
      </c>
      <c r="H19" s="12">
        <v>10361.44</v>
      </c>
      <c r="I19" s="13">
        <v>6038.64</v>
      </c>
      <c r="J19" s="14">
        <f t="shared" si="2"/>
        <v>16400.080000000002</v>
      </c>
      <c r="K19" s="12">
        <v>14266.77</v>
      </c>
      <c r="L19" s="13">
        <v>7987.63</v>
      </c>
      <c r="M19" s="14">
        <f t="shared" si="3"/>
        <v>22254.400000000001</v>
      </c>
      <c r="N19" s="12">
        <v>16076.11</v>
      </c>
      <c r="O19" s="13">
        <v>7656.79</v>
      </c>
      <c r="P19" s="14">
        <f t="shared" si="4"/>
        <v>23732.9</v>
      </c>
      <c r="Q19" s="12">
        <v>4821.79</v>
      </c>
      <c r="R19" s="13">
        <v>3096.31</v>
      </c>
      <c r="S19" s="14">
        <f t="shared" si="5"/>
        <v>7918.1</v>
      </c>
      <c r="T19" s="12">
        <v>10353.44</v>
      </c>
      <c r="U19" s="13">
        <v>4939.5200000000004</v>
      </c>
      <c r="V19" s="14">
        <f t="shared" si="6"/>
        <v>15292.960000000001</v>
      </c>
      <c r="W19" s="15">
        <f t="shared" si="7"/>
        <v>195003.12999999998</v>
      </c>
    </row>
    <row r="20" spans="1:23" ht="18" customHeight="1" x14ac:dyDescent="0.3">
      <c r="A20" s="6" t="s">
        <v>74</v>
      </c>
      <c r="B20" s="7">
        <v>65646</v>
      </c>
      <c r="C20" s="8">
        <v>31283.19</v>
      </c>
      <c r="D20" s="9">
        <f t="shared" si="0"/>
        <v>96929.19</v>
      </c>
      <c r="E20" s="7">
        <v>6618.59</v>
      </c>
      <c r="F20" s="8">
        <v>3459.55</v>
      </c>
      <c r="G20" s="9">
        <f t="shared" si="1"/>
        <v>10078.14</v>
      </c>
      <c r="H20" s="7">
        <v>0</v>
      </c>
      <c r="I20" s="8">
        <v>5677.21</v>
      </c>
      <c r="J20" s="9">
        <f t="shared" si="2"/>
        <v>5677.21</v>
      </c>
      <c r="K20" s="7">
        <v>13853.53</v>
      </c>
      <c r="L20" s="8">
        <v>7819.07</v>
      </c>
      <c r="M20" s="9">
        <f t="shared" si="3"/>
        <v>21672.6</v>
      </c>
      <c r="N20" s="7">
        <v>17447.34</v>
      </c>
      <c r="O20" s="8">
        <v>9935</v>
      </c>
      <c r="P20" s="9">
        <f t="shared" si="4"/>
        <v>27382.34</v>
      </c>
      <c r="Q20" s="7">
        <v>5113.1499999999996</v>
      </c>
      <c r="R20" s="8">
        <v>3185.07</v>
      </c>
      <c r="S20" s="9">
        <f t="shared" si="5"/>
        <v>8298.2199999999993</v>
      </c>
      <c r="T20" s="7">
        <v>8494.23</v>
      </c>
      <c r="U20" s="8">
        <v>3858.94</v>
      </c>
      <c r="V20" s="9">
        <f t="shared" si="6"/>
        <v>12353.17</v>
      </c>
      <c r="W20" s="10">
        <f t="shared" si="7"/>
        <v>182390.87000000002</v>
      </c>
    </row>
    <row r="21" spans="1:23" ht="18" customHeight="1" x14ac:dyDescent="0.3">
      <c r="A21" s="11" t="s">
        <v>75</v>
      </c>
      <c r="B21" s="12">
        <v>59459.75</v>
      </c>
      <c r="C21" s="13">
        <v>24860.18</v>
      </c>
      <c r="D21" s="14">
        <f t="shared" si="0"/>
        <v>84319.93</v>
      </c>
      <c r="E21" s="12">
        <v>9427.35</v>
      </c>
      <c r="F21" s="13">
        <v>2823.31</v>
      </c>
      <c r="G21" s="14">
        <f t="shared" si="1"/>
        <v>12250.66</v>
      </c>
      <c r="H21" s="12">
        <v>11797.2</v>
      </c>
      <c r="I21" s="13">
        <v>5648.8</v>
      </c>
      <c r="J21" s="14">
        <f t="shared" si="2"/>
        <v>17446</v>
      </c>
      <c r="K21" s="12">
        <v>16017.64</v>
      </c>
      <c r="L21" s="13">
        <v>5899.08</v>
      </c>
      <c r="M21" s="14">
        <f t="shared" si="3"/>
        <v>21916.720000000001</v>
      </c>
      <c r="N21" s="12">
        <v>20816.240000000002</v>
      </c>
      <c r="O21" s="13">
        <v>7827.38</v>
      </c>
      <c r="P21" s="14">
        <f t="shared" si="4"/>
        <v>28643.620000000003</v>
      </c>
      <c r="Q21" s="12">
        <v>6017.56</v>
      </c>
      <c r="R21" s="13">
        <v>2341.4</v>
      </c>
      <c r="S21" s="14">
        <f t="shared" si="5"/>
        <v>8358.9600000000009</v>
      </c>
      <c r="T21" s="12">
        <v>7702.93</v>
      </c>
      <c r="U21" s="13">
        <v>3782.02</v>
      </c>
      <c r="V21" s="14">
        <f t="shared" si="6"/>
        <v>11484.95</v>
      </c>
      <c r="W21" s="15">
        <f t="shared" si="7"/>
        <v>184420.84</v>
      </c>
    </row>
    <row r="22" spans="1:23" ht="18" customHeight="1" x14ac:dyDescent="0.3">
      <c r="A22" s="6" t="s">
        <v>76</v>
      </c>
      <c r="B22" s="7">
        <v>60845.67</v>
      </c>
      <c r="C22" s="8">
        <v>33467.75</v>
      </c>
      <c r="D22" s="9">
        <f t="shared" si="0"/>
        <v>94313.42</v>
      </c>
      <c r="E22" s="7">
        <v>7683.09</v>
      </c>
      <c r="F22" s="8">
        <v>3172.06</v>
      </c>
      <c r="G22" s="9">
        <f t="shared" si="1"/>
        <v>10855.15</v>
      </c>
      <c r="H22" s="7">
        <v>11145.33</v>
      </c>
      <c r="I22" s="8">
        <v>7134.22</v>
      </c>
      <c r="J22" s="9">
        <f t="shared" si="2"/>
        <v>18279.55</v>
      </c>
      <c r="K22" s="7">
        <v>11598.84</v>
      </c>
      <c r="L22" s="8">
        <v>7006.82</v>
      </c>
      <c r="M22" s="9">
        <f t="shared" si="3"/>
        <v>18605.66</v>
      </c>
      <c r="N22" s="7">
        <v>0</v>
      </c>
      <c r="O22" s="8">
        <v>8326.51</v>
      </c>
      <c r="P22" s="9">
        <f t="shared" si="4"/>
        <v>8326.51</v>
      </c>
      <c r="Q22" s="7">
        <v>6247.12</v>
      </c>
      <c r="R22" s="8">
        <v>3067.59</v>
      </c>
      <c r="S22" s="9">
        <f t="shared" si="5"/>
        <v>9314.7099999999991</v>
      </c>
      <c r="T22" s="7">
        <v>8821.7900000000009</v>
      </c>
      <c r="U22" s="8">
        <v>4448.33</v>
      </c>
      <c r="V22" s="9">
        <f t="shared" si="6"/>
        <v>13270.12</v>
      </c>
      <c r="W22" s="10">
        <f t="shared" si="7"/>
        <v>172965.12</v>
      </c>
    </row>
    <row r="23" spans="1:23" ht="18" customHeight="1" x14ac:dyDescent="0.3">
      <c r="A23" s="11" t="s">
        <v>77</v>
      </c>
      <c r="B23" s="12">
        <v>80176.11</v>
      </c>
      <c r="C23" s="13">
        <v>34456.449999999997</v>
      </c>
      <c r="D23" s="14">
        <f t="shared" si="0"/>
        <v>114632.56</v>
      </c>
      <c r="E23" s="12">
        <v>8943.0499999999993</v>
      </c>
      <c r="F23" s="13">
        <v>3295.2</v>
      </c>
      <c r="G23" s="14">
        <f t="shared" si="1"/>
        <v>12238.25</v>
      </c>
      <c r="H23" s="12">
        <v>11505.32</v>
      </c>
      <c r="I23" s="13">
        <v>7507.57</v>
      </c>
      <c r="J23" s="14">
        <f t="shared" si="2"/>
        <v>19012.89</v>
      </c>
      <c r="K23" s="12">
        <v>15624.23</v>
      </c>
      <c r="L23" s="13">
        <v>5964.89</v>
      </c>
      <c r="M23" s="14">
        <f t="shared" si="3"/>
        <v>21589.119999999999</v>
      </c>
      <c r="N23" s="12">
        <v>15628.34</v>
      </c>
      <c r="O23" s="13">
        <v>9179.2099999999991</v>
      </c>
      <c r="P23" s="14">
        <f t="shared" si="4"/>
        <v>24807.55</v>
      </c>
      <c r="Q23" s="12">
        <v>5046.25</v>
      </c>
      <c r="R23" s="13">
        <v>3264.44</v>
      </c>
      <c r="S23" s="14">
        <f t="shared" si="5"/>
        <v>8310.69</v>
      </c>
      <c r="T23" s="12">
        <v>7643.55</v>
      </c>
      <c r="U23" s="13">
        <v>5237.55</v>
      </c>
      <c r="V23" s="14">
        <f t="shared" si="6"/>
        <v>12881.1</v>
      </c>
      <c r="W23" s="15">
        <f t="shared" si="7"/>
        <v>213472.16</v>
      </c>
    </row>
    <row r="24" spans="1:23" ht="18" customHeight="1" x14ac:dyDescent="0.3">
      <c r="A24" s="6" t="s">
        <v>78</v>
      </c>
      <c r="B24" s="7">
        <v>62603.63</v>
      </c>
      <c r="C24" s="8">
        <v>32292.47</v>
      </c>
      <c r="D24" s="9">
        <f t="shared" si="0"/>
        <v>94896.1</v>
      </c>
      <c r="E24" s="7">
        <v>6859.37</v>
      </c>
      <c r="F24" s="8">
        <v>3187.34</v>
      </c>
      <c r="G24" s="9">
        <f t="shared" si="1"/>
        <v>10046.709999999999</v>
      </c>
      <c r="H24" s="7">
        <v>12356.45</v>
      </c>
      <c r="I24" s="8">
        <v>7314.72</v>
      </c>
      <c r="J24" s="9">
        <f t="shared" si="2"/>
        <v>19671.170000000002</v>
      </c>
      <c r="K24" s="7">
        <v>13367.75</v>
      </c>
      <c r="L24" s="8">
        <v>7445.46</v>
      </c>
      <c r="M24" s="9">
        <f t="shared" si="3"/>
        <v>20813.21</v>
      </c>
      <c r="N24" s="7">
        <v>20800.2</v>
      </c>
      <c r="O24" s="8">
        <v>9048.24</v>
      </c>
      <c r="P24" s="9">
        <f t="shared" si="4"/>
        <v>29848.440000000002</v>
      </c>
      <c r="Q24" s="7">
        <v>4551.43</v>
      </c>
      <c r="R24" s="8">
        <v>2327.11</v>
      </c>
      <c r="S24" s="9">
        <f t="shared" si="5"/>
        <v>6878.5400000000009</v>
      </c>
      <c r="T24" s="7">
        <v>8088.22</v>
      </c>
      <c r="U24" s="8">
        <v>4852.6499999999996</v>
      </c>
      <c r="V24" s="9">
        <f t="shared" si="6"/>
        <v>12940.869999999999</v>
      </c>
      <c r="W24" s="10">
        <f t="shared" si="7"/>
        <v>195095.04000000001</v>
      </c>
    </row>
    <row r="25" spans="1:23" ht="18" customHeight="1" x14ac:dyDescent="0.3">
      <c r="A25" s="11" t="s">
        <v>79</v>
      </c>
      <c r="B25" s="12">
        <v>62826.66</v>
      </c>
      <c r="C25" s="13">
        <v>33112.400000000001</v>
      </c>
      <c r="D25" s="14">
        <f t="shared" si="0"/>
        <v>95939.06</v>
      </c>
      <c r="E25" s="12">
        <v>7066.37</v>
      </c>
      <c r="F25" s="13">
        <v>3428.58</v>
      </c>
      <c r="G25" s="14">
        <f t="shared" si="1"/>
        <v>10494.95</v>
      </c>
      <c r="H25" s="12">
        <v>10531.88</v>
      </c>
      <c r="I25" s="13">
        <v>6183.26</v>
      </c>
      <c r="J25" s="14">
        <f t="shared" si="2"/>
        <v>16715.14</v>
      </c>
      <c r="K25" s="12">
        <v>13266.74</v>
      </c>
      <c r="L25" s="13">
        <v>6641.5</v>
      </c>
      <c r="M25" s="14">
        <f t="shared" si="3"/>
        <v>19908.239999999998</v>
      </c>
      <c r="N25" s="12">
        <v>19807.63</v>
      </c>
      <c r="O25" s="13">
        <v>10116.799999999999</v>
      </c>
      <c r="P25" s="14">
        <f t="shared" si="4"/>
        <v>29924.43</v>
      </c>
      <c r="Q25" s="12">
        <v>5403.85</v>
      </c>
      <c r="R25" s="13">
        <v>2838.62</v>
      </c>
      <c r="S25" s="14">
        <f t="shared" si="5"/>
        <v>8242.4700000000012</v>
      </c>
      <c r="T25" s="12">
        <v>7997.61</v>
      </c>
      <c r="U25" s="13">
        <v>3796.45</v>
      </c>
      <c r="V25" s="14">
        <f t="shared" si="6"/>
        <v>11794.06</v>
      </c>
      <c r="W25" s="15">
        <f t="shared" si="7"/>
        <v>193018.34999999998</v>
      </c>
    </row>
    <row r="26" spans="1:23" ht="18" customHeight="1" x14ac:dyDescent="0.3">
      <c r="A26" s="6" t="s">
        <v>80</v>
      </c>
      <c r="B26" s="7">
        <v>70510.77</v>
      </c>
      <c r="C26" s="8">
        <v>31837.1</v>
      </c>
      <c r="D26" s="9">
        <f t="shared" si="0"/>
        <v>102347.87</v>
      </c>
      <c r="E26" s="7">
        <v>7136.97</v>
      </c>
      <c r="F26" s="8">
        <v>3325.59</v>
      </c>
      <c r="G26" s="9">
        <f t="shared" si="1"/>
        <v>10462.560000000001</v>
      </c>
      <c r="H26" s="7">
        <v>11281.39</v>
      </c>
      <c r="I26" s="8">
        <v>5310.19</v>
      </c>
      <c r="J26" s="9">
        <f t="shared" si="2"/>
        <v>16591.579999999998</v>
      </c>
      <c r="K26" s="7">
        <v>15431.8</v>
      </c>
      <c r="L26" s="8">
        <v>7347.09</v>
      </c>
      <c r="M26" s="9">
        <f t="shared" si="3"/>
        <v>22778.89</v>
      </c>
      <c r="N26" s="7">
        <v>17284.21</v>
      </c>
      <c r="O26" s="8">
        <v>8664.81</v>
      </c>
      <c r="P26" s="9">
        <f t="shared" si="4"/>
        <v>25949.019999999997</v>
      </c>
      <c r="Q26" s="7">
        <v>6134.98</v>
      </c>
      <c r="R26" s="8">
        <v>2398.44</v>
      </c>
      <c r="S26" s="9">
        <f t="shared" si="5"/>
        <v>8533.42</v>
      </c>
      <c r="T26" s="7">
        <v>10473.99</v>
      </c>
      <c r="U26" s="8">
        <v>4646.33</v>
      </c>
      <c r="V26" s="9">
        <f t="shared" si="6"/>
        <v>15120.32</v>
      </c>
      <c r="W26" s="10">
        <f t="shared" si="7"/>
        <v>201783.66</v>
      </c>
    </row>
    <row r="27" spans="1:23" ht="18" customHeight="1" x14ac:dyDescent="0.3">
      <c r="A27" s="11" t="s">
        <v>81</v>
      </c>
      <c r="B27" s="12">
        <v>76938.64</v>
      </c>
      <c r="C27" s="13">
        <v>34211.279999999999</v>
      </c>
      <c r="D27" s="14">
        <f t="shared" si="0"/>
        <v>111149.92</v>
      </c>
      <c r="E27" s="12">
        <v>6877.9</v>
      </c>
      <c r="F27" s="13">
        <v>3185.04</v>
      </c>
      <c r="G27" s="14">
        <f t="shared" si="1"/>
        <v>10062.939999999999</v>
      </c>
      <c r="H27" s="12">
        <v>11077.4</v>
      </c>
      <c r="I27" s="13">
        <v>6268.99</v>
      </c>
      <c r="J27" s="14">
        <f t="shared" si="2"/>
        <v>17346.39</v>
      </c>
      <c r="K27" s="12">
        <v>15000.54</v>
      </c>
      <c r="L27" s="13">
        <v>7911.8</v>
      </c>
      <c r="M27" s="14">
        <f t="shared" si="3"/>
        <v>22912.34</v>
      </c>
      <c r="N27" s="12">
        <v>16087.59</v>
      </c>
      <c r="O27" s="13">
        <v>9684.7000000000007</v>
      </c>
      <c r="P27" s="14">
        <f t="shared" si="4"/>
        <v>25772.29</v>
      </c>
      <c r="Q27" s="12">
        <v>5422.41</v>
      </c>
      <c r="R27" s="13">
        <v>2877.56</v>
      </c>
      <c r="S27" s="14">
        <f t="shared" si="5"/>
        <v>8299.9699999999993</v>
      </c>
      <c r="T27" s="12">
        <v>10185.23</v>
      </c>
      <c r="U27" s="13">
        <v>4009.49</v>
      </c>
      <c r="V27" s="14">
        <f t="shared" si="6"/>
        <v>14194.72</v>
      </c>
      <c r="W27" s="15">
        <f t="shared" si="7"/>
        <v>209738.57</v>
      </c>
    </row>
    <row r="28" spans="1:23" ht="18" customHeight="1" x14ac:dyDescent="0.3">
      <c r="A28" s="6" t="s">
        <v>82</v>
      </c>
      <c r="B28" s="7">
        <v>80294.679999999993</v>
      </c>
      <c r="C28" s="8">
        <v>34841.120000000003</v>
      </c>
      <c r="D28" s="9">
        <f t="shared" si="0"/>
        <v>115135.79999999999</v>
      </c>
      <c r="E28" s="7">
        <v>6594.97</v>
      </c>
      <c r="F28" s="8">
        <v>3468.5</v>
      </c>
      <c r="G28" s="9">
        <f t="shared" si="1"/>
        <v>10063.470000000001</v>
      </c>
      <c r="H28" s="7">
        <v>12010.76</v>
      </c>
      <c r="I28" s="8">
        <v>7098.61</v>
      </c>
      <c r="J28" s="9">
        <f t="shared" si="2"/>
        <v>19109.37</v>
      </c>
      <c r="K28" s="7">
        <v>11784.39</v>
      </c>
      <c r="L28" s="8">
        <v>5864.05</v>
      </c>
      <c r="M28" s="9">
        <f t="shared" si="3"/>
        <v>17648.439999999999</v>
      </c>
      <c r="N28" s="7">
        <v>19992.14</v>
      </c>
      <c r="O28" s="8">
        <v>9897.17</v>
      </c>
      <c r="P28" s="9">
        <f t="shared" si="4"/>
        <v>29889.309999999998</v>
      </c>
      <c r="Q28" s="7">
        <v>5626.37</v>
      </c>
      <c r="R28" s="8">
        <v>0</v>
      </c>
      <c r="S28" s="9">
        <f t="shared" si="5"/>
        <v>5626.37</v>
      </c>
      <c r="T28" s="7">
        <v>8676.7199999999993</v>
      </c>
      <c r="U28" s="8">
        <v>4206.87</v>
      </c>
      <c r="V28" s="9">
        <f t="shared" si="6"/>
        <v>12883.59</v>
      </c>
      <c r="W28" s="10">
        <f t="shared" si="7"/>
        <v>210356.34999999998</v>
      </c>
    </row>
    <row r="29" spans="1:23" ht="18" customHeight="1" x14ac:dyDescent="0.3">
      <c r="A29" s="11" t="s">
        <v>83</v>
      </c>
      <c r="B29" s="12">
        <v>62345.760000000002</v>
      </c>
      <c r="C29" s="13">
        <v>25524.39</v>
      </c>
      <c r="D29" s="14">
        <f t="shared" si="0"/>
        <v>87870.15</v>
      </c>
      <c r="E29" s="12">
        <v>8970.77</v>
      </c>
      <c r="F29" s="13">
        <v>3328.04</v>
      </c>
      <c r="G29" s="14">
        <f t="shared" si="1"/>
        <v>12298.810000000001</v>
      </c>
      <c r="H29" s="12">
        <v>12203.05</v>
      </c>
      <c r="I29" s="13">
        <v>6401.3</v>
      </c>
      <c r="J29" s="14">
        <f t="shared" si="2"/>
        <v>18604.349999999999</v>
      </c>
      <c r="K29" s="12">
        <v>0</v>
      </c>
      <c r="L29" s="13">
        <v>6441.03</v>
      </c>
      <c r="M29" s="14">
        <f t="shared" si="3"/>
        <v>6441.03</v>
      </c>
      <c r="N29" s="12">
        <v>18640.62</v>
      </c>
      <c r="O29" s="13">
        <v>8313.93</v>
      </c>
      <c r="P29" s="14">
        <f t="shared" si="4"/>
        <v>26954.55</v>
      </c>
      <c r="Q29" s="12">
        <v>5972.07</v>
      </c>
      <c r="R29" s="13">
        <v>3003.34</v>
      </c>
      <c r="S29" s="14">
        <f t="shared" si="5"/>
        <v>8975.41</v>
      </c>
      <c r="T29" s="12">
        <v>9632.17</v>
      </c>
      <c r="U29" s="13">
        <v>4561.33</v>
      </c>
      <c r="V29" s="14">
        <f t="shared" si="6"/>
        <v>14193.5</v>
      </c>
      <c r="W29" s="15">
        <f t="shared" si="7"/>
        <v>175337.8</v>
      </c>
    </row>
    <row r="30" spans="1:23" ht="18" customHeight="1" x14ac:dyDescent="0.3">
      <c r="A30" s="6" t="s">
        <v>84</v>
      </c>
      <c r="B30" s="7">
        <v>80254.740000000005</v>
      </c>
      <c r="C30" s="8">
        <v>32232.93</v>
      </c>
      <c r="D30" s="9">
        <f t="shared" si="0"/>
        <v>112487.67000000001</v>
      </c>
      <c r="E30" s="7">
        <v>8968.32</v>
      </c>
      <c r="F30" s="8">
        <v>2755.21</v>
      </c>
      <c r="G30" s="9">
        <f t="shared" si="1"/>
        <v>11723.529999999999</v>
      </c>
      <c r="H30" s="7">
        <v>12286.47</v>
      </c>
      <c r="I30" s="8">
        <v>5967.35</v>
      </c>
      <c r="J30" s="9">
        <f t="shared" si="2"/>
        <v>18253.82</v>
      </c>
      <c r="K30" s="7">
        <v>16495.060000000001</v>
      </c>
      <c r="L30" s="8">
        <v>6520.54</v>
      </c>
      <c r="M30" s="9">
        <f t="shared" si="3"/>
        <v>23015.600000000002</v>
      </c>
      <c r="N30" s="7">
        <v>17201.95</v>
      </c>
      <c r="O30" s="8">
        <v>9149.0400000000009</v>
      </c>
      <c r="P30" s="9">
        <f t="shared" si="4"/>
        <v>26350.99</v>
      </c>
      <c r="Q30" s="7">
        <v>5456.39</v>
      </c>
      <c r="R30" s="8">
        <v>2856.04</v>
      </c>
      <c r="S30" s="9">
        <f t="shared" si="5"/>
        <v>8312.43</v>
      </c>
      <c r="T30" s="7">
        <v>8037.31</v>
      </c>
      <c r="U30" s="8">
        <v>3794.31</v>
      </c>
      <c r="V30" s="9">
        <f t="shared" si="6"/>
        <v>11831.62</v>
      </c>
      <c r="W30" s="10">
        <f t="shared" si="7"/>
        <v>211975.66</v>
      </c>
    </row>
    <row r="31" spans="1:23" ht="18" customHeight="1" x14ac:dyDescent="0.3">
      <c r="A31" s="11" t="s">
        <v>85</v>
      </c>
      <c r="B31" s="12">
        <v>65531.94</v>
      </c>
      <c r="C31" s="13">
        <v>31477.85</v>
      </c>
      <c r="D31" s="14">
        <f t="shared" si="0"/>
        <v>97009.790000000008</v>
      </c>
      <c r="E31" s="12">
        <v>8729.15</v>
      </c>
      <c r="F31" s="13">
        <v>3582.09</v>
      </c>
      <c r="G31" s="14">
        <f t="shared" si="1"/>
        <v>12311.24</v>
      </c>
      <c r="H31" s="12">
        <v>9890.07</v>
      </c>
      <c r="I31" s="13">
        <v>5749.79</v>
      </c>
      <c r="J31" s="14">
        <f t="shared" si="2"/>
        <v>15639.86</v>
      </c>
      <c r="K31" s="12">
        <v>13364.54</v>
      </c>
      <c r="L31" s="13">
        <v>7335.12</v>
      </c>
      <c r="M31" s="14">
        <f t="shared" si="3"/>
        <v>20699.66</v>
      </c>
      <c r="N31" s="12">
        <v>15574.59</v>
      </c>
      <c r="O31" s="13">
        <v>9325.85</v>
      </c>
      <c r="P31" s="14">
        <f t="shared" si="4"/>
        <v>24900.440000000002</v>
      </c>
      <c r="Q31" s="12">
        <v>5584.24</v>
      </c>
      <c r="R31" s="13">
        <v>2873.77</v>
      </c>
      <c r="S31" s="14">
        <f t="shared" si="5"/>
        <v>8458.01</v>
      </c>
      <c r="T31" s="12">
        <v>10360.030000000001</v>
      </c>
      <c r="U31" s="13">
        <v>4273.8100000000004</v>
      </c>
      <c r="V31" s="14">
        <f t="shared" si="6"/>
        <v>14633.84</v>
      </c>
      <c r="W31" s="15">
        <f t="shared" si="7"/>
        <v>193652.84000000003</v>
      </c>
    </row>
    <row r="32" spans="1:23" ht="18" customHeight="1" x14ac:dyDescent="0.3">
      <c r="A32" s="6" t="s">
        <v>86</v>
      </c>
      <c r="B32" s="7">
        <v>64601.81</v>
      </c>
      <c r="C32" s="8">
        <v>32379.18</v>
      </c>
      <c r="D32" s="9">
        <f t="shared" si="0"/>
        <v>96980.989999999991</v>
      </c>
      <c r="E32" s="7">
        <v>6624.42</v>
      </c>
      <c r="F32" s="8">
        <v>2900.63</v>
      </c>
      <c r="G32" s="9">
        <f t="shared" si="1"/>
        <v>9525.0499999999993</v>
      </c>
      <c r="H32" s="7">
        <v>9109.0499999999993</v>
      </c>
      <c r="I32" s="8">
        <v>7103.18</v>
      </c>
      <c r="J32" s="9">
        <f t="shared" si="2"/>
        <v>16212.23</v>
      </c>
      <c r="K32" s="7">
        <v>14489.45</v>
      </c>
      <c r="L32" s="8">
        <v>7347.69</v>
      </c>
      <c r="M32" s="9">
        <f t="shared" si="3"/>
        <v>21837.14</v>
      </c>
      <c r="N32" s="7">
        <v>16254.81</v>
      </c>
      <c r="O32" s="8">
        <v>7817.56</v>
      </c>
      <c r="P32" s="9">
        <f t="shared" si="4"/>
        <v>24072.37</v>
      </c>
      <c r="Q32" s="7">
        <v>6462.28</v>
      </c>
      <c r="R32" s="8">
        <v>3274.9</v>
      </c>
      <c r="S32" s="9">
        <f t="shared" si="5"/>
        <v>9737.18</v>
      </c>
      <c r="T32" s="7">
        <v>9784.51</v>
      </c>
      <c r="U32" s="8">
        <v>4792.05</v>
      </c>
      <c r="V32" s="9">
        <f t="shared" si="6"/>
        <v>14576.560000000001</v>
      </c>
      <c r="W32" s="10">
        <f t="shared" si="7"/>
        <v>192941.51999999996</v>
      </c>
    </row>
    <row r="33" spans="1:23" ht="21.75" customHeight="1" x14ac:dyDescent="0.3">
      <c r="A33" s="16" t="s">
        <v>53</v>
      </c>
      <c r="B33" s="17">
        <f t="shared" ref="B33:W33" si="8">SUM(B2:B32)</f>
        <v>2002077.0599999996</v>
      </c>
      <c r="C33" s="18">
        <f t="shared" si="8"/>
        <v>895239.94000000006</v>
      </c>
      <c r="D33" s="19">
        <f t="shared" si="8"/>
        <v>2897317</v>
      </c>
      <c r="E33" s="17">
        <f t="shared" si="8"/>
        <v>244400.81</v>
      </c>
      <c r="F33" s="18">
        <f t="shared" si="8"/>
        <v>97734.2</v>
      </c>
      <c r="G33" s="19">
        <f t="shared" si="8"/>
        <v>342135.00999999995</v>
      </c>
      <c r="H33" s="17">
        <f t="shared" si="8"/>
        <v>325830.06</v>
      </c>
      <c r="I33" s="18">
        <f t="shared" si="8"/>
        <v>181016.77999999997</v>
      </c>
      <c r="J33" s="19">
        <f t="shared" si="8"/>
        <v>506846.84</v>
      </c>
      <c r="K33" s="17">
        <f t="shared" si="8"/>
        <v>422075.68</v>
      </c>
      <c r="L33" s="18">
        <f t="shared" si="8"/>
        <v>217465.77</v>
      </c>
      <c r="M33" s="19">
        <f t="shared" si="8"/>
        <v>639541.44999999995</v>
      </c>
      <c r="N33" s="17">
        <f t="shared" si="8"/>
        <v>530449.58000000007</v>
      </c>
      <c r="O33" s="18">
        <f t="shared" si="8"/>
        <v>279894.03999999998</v>
      </c>
      <c r="P33" s="19">
        <f t="shared" si="8"/>
        <v>810343.62000000023</v>
      </c>
      <c r="Q33" s="17">
        <f t="shared" si="8"/>
        <v>158985.29</v>
      </c>
      <c r="R33" s="18">
        <f t="shared" si="8"/>
        <v>83725.709999999977</v>
      </c>
      <c r="S33" s="19">
        <f t="shared" si="8"/>
        <v>242711</v>
      </c>
      <c r="T33" s="17">
        <f t="shared" si="8"/>
        <v>279372.31</v>
      </c>
      <c r="U33" s="18">
        <f t="shared" si="8"/>
        <v>137130.82999999999</v>
      </c>
      <c r="V33" s="19">
        <f t="shared" si="8"/>
        <v>416503.14</v>
      </c>
      <c r="W33" s="20">
        <f t="shared" si="8"/>
        <v>5855398.0599999996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showGridLines="0" zoomScaleNormal="100" workbookViewId="0">
      <pane xSplit="1" ySplit="1" topLeftCell="R2" activePane="bottomRight" state="frozen"/>
      <selection pane="topRight" activeCell="B1" sqref="B1"/>
      <selection pane="bottomLeft" activeCell="A5" sqref="A5"/>
      <selection pane="bottomRight" sqref="A1:XFD1"/>
    </sheetView>
  </sheetViews>
  <sheetFormatPr defaultColWidth="8.6640625" defaultRowHeight="14.4" x14ac:dyDescent="0.3"/>
  <cols>
    <col min="1" max="1" width="16" customWidth="1"/>
    <col min="2" max="3" width="20" customWidth="1"/>
    <col min="4" max="4" width="22" customWidth="1"/>
  </cols>
  <sheetData>
    <row r="1" spans="1:4" ht="21.75" customHeight="1" x14ac:dyDescent="0.3">
      <c r="A1" s="1" t="s">
        <v>0</v>
      </c>
      <c r="B1" s="2" t="s">
        <v>54</v>
      </c>
      <c r="C1" s="3" t="s">
        <v>55</v>
      </c>
      <c r="D1" s="5" t="s">
        <v>22</v>
      </c>
    </row>
    <row r="2" spans="1:4" ht="18" customHeight="1" x14ac:dyDescent="0.3">
      <c r="A2" s="6" t="s">
        <v>56</v>
      </c>
      <c r="B2" s="7">
        <v>42120.31</v>
      </c>
      <c r="C2" s="8">
        <v>20603.82</v>
      </c>
      <c r="D2" s="10">
        <f t="shared" ref="D2:D32" si="0">B2+C2</f>
        <v>62724.13</v>
      </c>
    </row>
    <row r="3" spans="1:4" ht="18" customHeight="1" x14ac:dyDescent="0.3">
      <c r="A3" s="11" t="s">
        <v>57</v>
      </c>
      <c r="B3" s="12">
        <v>34550.43</v>
      </c>
      <c r="C3" s="13">
        <v>18162.66</v>
      </c>
      <c r="D3" s="15">
        <f t="shared" si="0"/>
        <v>52713.09</v>
      </c>
    </row>
    <row r="4" spans="1:4" ht="18" customHeight="1" x14ac:dyDescent="0.3">
      <c r="A4" s="6" t="s">
        <v>58</v>
      </c>
      <c r="B4" s="7">
        <v>35746.01</v>
      </c>
      <c r="C4" s="8">
        <v>19381.939999999999</v>
      </c>
      <c r="D4" s="10">
        <f t="shared" si="0"/>
        <v>55127.95</v>
      </c>
    </row>
    <row r="5" spans="1:4" ht="18" customHeight="1" x14ac:dyDescent="0.3">
      <c r="A5" s="11" t="s">
        <v>59</v>
      </c>
      <c r="B5" s="12">
        <v>39221.32</v>
      </c>
      <c r="C5" s="13">
        <v>0</v>
      </c>
      <c r="D5" s="15">
        <f t="shared" si="0"/>
        <v>39221.32</v>
      </c>
    </row>
    <row r="6" spans="1:4" ht="18" customHeight="1" x14ac:dyDescent="0.3">
      <c r="A6" s="6" t="s">
        <v>60</v>
      </c>
      <c r="B6" s="7">
        <v>0</v>
      </c>
      <c r="C6" s="8">
        <v>16535.080000000002</v>
      </c>
      <c r="D6" s="10">
        <f t="shared" si="0"/>
        <v>16535.080000000002</v>
      </c>
    </row>
    <row r="7" spans="1:4" ht="18" customHeight="1" x14ac:dyDescent="0.3">
      <c r="A7" s="11" t="s">
        <v>61</v>
      </c>
      <c r="B7" s="12">
        <v>38850.300000000003</v>
      </c>
      <c r="C7" s="13">
        <v>18281.7</v>
      </c>
      <c r="D7" s="15">
        <f t="shared" si="0"/>
        <v>57132</v>
      </c>
    </row>
    <row r="8" spans="1:4" ht="18" customHeight="1" x14ac:dyDescent="0.3">
      <c r="A8" s="6" t="s">
        <v>62</v>
      </c>
      <c r="B8" s="7">
        <v>0</v>
      </c>
      <c r="C8" s="8">
        <v>18950.66</v>
      </c>
      <c r="D8" s="10">
        <f t="shared" si="0"/>
        <v>18950.66</v>
      </c>
    </row>
    <row r="9" spans="1:4" ht="18" customHeight="1" x14ac:dyDescent="0.3">
      <c r="A9" s="11" t="s">
        <v>63</v>
      </c>
      <c r="B9" s="12">
        <v>43464.5</v>
      </c>
      <c r="C9" s="13">
        <v>17295.63</v>
      </c>
      <c r="D9" s="15">
        <f t="shared" si="0"/>
        <v>60760.130000000005</v>
      </c>
    </row>
    <row r="10" spans="1:4" ht="18" customHeight="1" x14ac:dyDescent="0.3">
      <c r="A10" s="6" t="s">
        <v>64</v>
      </c>
      <c r="B10" s="7">
        <v>38753.760000000002</v>
      </c>
      <c r="C10" s="8">
        <v>15989.53</v>
      </c>
      <c r="D10" s="10">
        <f t="shared" si="0"/>
        <v>54743.29</v>
      </c>
    </row>
    <row r="11" spans="1:4" ht="18" customHeight="1" x14ac:dyDescent="0.3">
      <c r="A11" s="11" t="s">
        <v>65</v>
      </c>
      <c r="B11" s="12">
        <v>48004.94</v>
      </c>
      <c r="C11" s="13">
        <v>16547.509999999998</v>
      </c>
      <c r="D11" s="15">
        <f t="shared" si="0"/>
        <v>64552.45</v>
      </c>
    </row>
    <row r="12" spans="1:4" ht="18" customHeight="1" x14ac:dyDescent="0.3">
      <c r="A12" s="6" t="s">
        <v>66</v>
      </c>
      <c r="B12" s="7">
        <v>38703.01</v>
      </c>
      <c r="C12" s="8">
        <v>17125.18</v>
      </c>
      <c r="D12" s="10">
        <f t="shared" si="0"/>
        <v>55828.19</v>
      </c>
    </row>
    <row r="13" spans="1:4" ht="18" customHeight="1" x14ac:dyDescent="0.3">
      <c r="A13" s="11" t="s">
        <v>67</v>
      </c>
      <c r="B13" s="12">
        <v>44957.27</v>
      </c>
      <c r="C13" s="13">
        <v>18197.27</v>
      </c>
      <c r="D13" s="15">
        <f t="shared" si="0"/>
        <v>63154.539999999994</v>
      </c>
    </row>
    <row r="14" spans="1:4" ht="18" customHeight="1" x14ac:dyDescent="0.3">
      <c r="A14" s="6" t="s">
        <v>68</v>
      </c>
      <c r="B14" s="7">
        <v>44834.64</v>
      </c>
      <c r="C14" s="8">
        <v>15090.63</v>
      </c>
      <c r="D14" s="10">
        <f t="shared" si="0"/>
        <v>59925.27</v>
      </c>
    </row>
    <row r="15" spans="1:4" ht="18" customHeight="1" x14ac:dyDescent="0.3">
      <c r="A15" s="11" t="s">
        <v>69</v>
      </c>
      <c r="B15" s="12">
        <v>37259.300000000003</v>
      </c>
      <c r="C15" s="13">
        <v>16481.419999999998</v>
      </c>
      <c r="D15" s="15">
        <f t="shared" si="0"/>
        <v>53740.72</v>
      </c>
    </row>
    <row r="16" spans="1:4" ht="18" customHeight="1" x14ac:dyDescent="0.3">
      <c r="A16" s="6" t="s">
        <v>70</v>
      </c>
      <c r="B16" s="7">
        <v>44556.66</v>
      </c>
      <c r="C16" s="8">
        <v>18534.86</v>
      </c>
      <c r="D16" s="10">
        <f t="shared" si="0"/>
        <v>63091.520000000004</v>
      </c>
    </row>
    <row r="17" spans="1:4" ht="18" customHeight="1" x14ac:dyDescent="0.3">
      <c r="A17" s="11" t="s">
        <v>71</v>
      </c>
      <c r="B17" s="12">
        <v>42958.73</v>
      </c>
      <c r="C17" s="13">
        <v>20299.990000000002</v>
      </c>
      <c r="D17" s="15">
        <f t="shared" si="0"/>
        <v>63258.720000000001</v>
      </c>
    </row>
    <row r="18" spans="1:4" ht="18" customHeight="1" x14ac:dyDescent="0.3">
      <c r="A18" s="6" t="s">
        <v>72</v>
      </c>
      <c r="B18" s="7">
        <v>41158.76</v>
      </c>
      <c r="C18" s="8">
        <v>17174.18</v>
      </c>
      <c r="D18" s="10">
        <f t="shared" si="0"/>
        <v>58332.94</v>
      </c>
    </row>
    <row r="19" spans="1:4" ht="18" customHeight="1" x14ac:dyDescent="0.3">
      <c r="A19" s="11" t="s">
        <v>73</v>
      </c>
      <c r="B19" s="12">
        <v>47068.21</v>
      </c>
      <c r="C19" s="13">
        <v>15454.36</v>
      </c>
      <c r="D19" s="15">
        <f t="shared" si="0"/>
        <v>62522.57</v>
      </c>
    </row>
    <row r="20" spans="1:4" ht="18" customHeight="1" x14ac:dyDescent="0.3">
      <c r="A20" s="6" t="s">
        <v>74</v>
      </c>
      <c r="B20" s="7">
        <v>37742.31</v>
      </c>
      <c r="C20" s="8">
        <v>17439.45</v>
      </c>
      <c r="D20" s="10">
        <f t="shared" si="0"/>
        <v>55181.759999999995</v>
      </c>
    </row>
    <row r="21" spans="1:4" ht="18" customHeight="1" x14ac:dyDescent="0.3">
      <c r="A21" s="11" t="s">
        <v>75</v>
      </c>
      <c r="B21" s="12">
        <v>36182.67</v>
      </c>
      <c r="C21" s="13">
        <v>21027.27</v>
      </c>
      <c r="D21" s="15">
        <f t="shared" si="0"/>
        <v>57209.94</v>
      </c>
    </row>
    <row r="22" spans="1:4" ht="18" customHeight="1" x14ac:dyDescent="0.3">
      <c r="A22" s="6" t="s">
        <v>76</v>
      </c>
      <c r="B22" s="7">
        <v>46953.9</v>
      </c>
      <c r="C22" s="8">
        <v>16942.2</v>
      </c>
      <c r="D22" s="10">
        <f t="shared" si="0"/>
        <v>63896.100000000006</v>
      </c>
    </row>
    <row r="23" spans="1:4" ht="18" customHeight="1" x14ac:dyDescent="0.3">
      <c r="A23" s="11" t="s">
        <v>77</v>
      </c>
      <c r="B23" s="12">
        <v>40035.9</v>
      </c>
      <c r="C23" s="13">
        <v>21215.81</v>
      </c>
      <c r="D23" s="15">
        <f t="shared" si="0"/>
        <v>61251.710000000006</v>
      </c>
    </row>
    <row r="24" spans="1:4" ht="18" customHeight="1" x14ac:dyDescent="0.3">
      <c r="A24" s="6" t="s">
        <v>78</v>
      </c>
      <c r="B24" s="7">
        <v>42933.62</v>
      </c>
      <c r="C24" s="8">
        <v>21056.77</v>
      </c>
      <c r="D24" s="10">
        <f t="shared" si="0"/>
        <v>63990.39</v>
      </c>
    </row>
    <row r="25" spans="1:4" ht="18" customHeight="1" x14ac:dyDescent="0.3">
      <c r="A25" s="11" t="s">
        <v>79</v>
      </c>
      <c r="B25" s="12">
        <v>36221.75</v>
      </c>
      <c r="C25" s="13">
        <v>15702.46</v>
      </c>
      <c r="D25" s="15">
        <f t="shared" si="0"/>
        <v>51924.21</v>
      </c>
    </row>
    <row r="26" spans="1:4" ht="18" customHeight="1" x14ac:dyDescent="0.3">
      <c r="A26" s="6" t="s">
        <v>80</v>
      </c>
      <c r="B26" s="7">
        <v>35833.79</v>
      </c>
      <c r="C26" s="8">
        <v>16013.89</v>
      </c>
      <c r="D26" s="10">
        <f t="shared" si="0"/>
        <v>51847.68</v>
      </c>
    </row>
    <row r="27" spans="1:4" ht="18" customHeight="1" x14ac:dyDescent="0.3">
      <c r="A27" s="11" t="s">
        <v>81</v>
      </c>
      <c r="B27" s="12">
        <v>0</v>
      </c>
      <c r="C27" s="13">
        <v>17759.11</v>
      </c>
      <c r="D27" s="15">
        <f t="shared" si="0"/>
        <v>17759.11</v>
      </c>
    </row>
    <row r="28" spans="1:4" ht="18" customHeight="1" x14ac:dyDescent="0.3">
      <c r="A28" s="6" t="s">
        <v>82</v>
      </c>
      <c r="B28" s="7">
        <v>43167.199999999997</v>
      </c>
      <c r="C28" s="8">
        <v>15217.51</v>
      </c>
      <c r="D28" s="10">
        <f t="shared" si="0"/>
        <v>58384.71</v>
      </c>
    </row>
    <row r="29" spans="1:4" ht="18" customHeight="1" x14ac:dyDescent="0.3">
      <c r="A29" s="11" t="s">
        <v>83</v>
      </c>
      <c r="B29" s="12">
        <v>44713.77</v>
      </c>
      <c r="C29" s="13">
        <v>15292.36</v>
      </c>
      <c r="D29" s="15">
        <f t="shared" si="0"/>
        <v>60006.13</v>
      </c>
    </row>
    <row r="30" spans="1:4" ht="18" customHeight="1" x14ac:dyDescent="0.3">
      <c r="A30" s="6" t="s">
        <v>84</v>
      </c>
      <c r="B30" s="7">
        <v>48503.06</v>
      </c>
      <c r="C30" s="8">
        <v>20737.560000000001</v>
      </c>
      <c r="D30" s="10">
        <f t="shared" si="0"/>
        <v>69240.62</v>
      </c>
    </row>
    <row r="31" spans="1:4" ht="18" customHeight="1" x14ac:dyDescent="0.3">
      <c r="A31" s="11" t="s">
        <v>85</v>
      </c>
      <c r="B31" s="12">
        <v>36351.17</v>
      </c>
      <c r="C31" s="13">
        <v>17780.53</v>
      </c>
      <c r="D31" s="15">
        <f t="shared" si="0"/>
        <v>54131.7</v>
      </c>
    </row>
    <row r="32" spans="1:4" ht="18" customHeight="1" x14ac:dyDescent="0.3">
      <c r="A32" s="6" t="s">
        <v>86</v>
      </c>
      <c r="B32" s="7">
        <v>41758.57</v>
      </c>
      <c r="C32" s="8">
        <v>16449.759999999998</v>
      </c>
      <c r="D32" s="10">
        <f t="shared" si="0"/>
        <v>58208.33</v>
      </c>
    </row>
    <row r="33" spans="1:4" ht="21.75" customHeight="1" x14ac:dyDescent="0.3">
      <c r="A33" s="16" t="s">
        <v>53</v>
      </c>
      <c r="B33" s="17">
        <f>SUM(B2:B32)</f>
        <v>1152605.8600000001</v>
      </c>
      <c r="C33" s="18">
        <f>SUM(C2:C32)</f>
        <v>532741.10000000009</v>
      </c>
      <c r="D33" s="20">
        <f>SUM(D2:D32)</f>
        <v>1685346.9599999997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8.6640625" defaultRowHeight="14.4" x14ac:dyDescent="0.3"/>
  <cols>
    <col min="1" max="1" width="16" customWidth="1"/>
    <col min="2" max="23" width="18" customWidth="1"/>
  </cols>
  <sheetData>
    <row r="1" spans="1:23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4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4" t="s">
        <v>18</v>
      </c>
      <c r="T1" s="2" t="s">
        <v>19</v>
      </c>
      <c r="U1" s="3" t="s">
        <v>20</v>
      </c>
      <c r="V1" s="4" t="s">
        <v>21</v>
      </c>
      <c r="W1" s="5" t="s">
        <v>22</v>
      </c>
    </row>
    <row r="2" spans="1:23" ht="18" customHeight="1" x14ac:dyDescent="0.3">
      <c r="A2" s="6" t="s">
        <v>87</v>
      </c>
      <c r="B2" s="7">
        <v>64726.62</v>
      </c>
      <c r="C2" s="8">
        <v>25423.01</v>
      </c>
      <c r="D2" s="9">
        <f t="shared" ref="D2:D31" si="0">B2+C2</f>
        <v>90149.63</v>
      </c>
      <c r="E2" s="7">
        <v>6692.79</v>
      </c>
      <c r="F2" s="8">
        <v>2567.12</v>
      </c>
      <c r="G2" s="9">
        <f t="shared" ref="G2:G31" si="1">E2+F2</f>
        <v>9259.91</v>
      </c>
      <c r="H2" s="7">
        <v>10674.42</v>
      </c>
      <c r="I2" s="8">
        <v>6135.22</v>
      </c>
      <c r="J2" s="9">
        <f t="shared" ref="J2:J31" si="2">H2+I2</f>
        <v>16809.64</v>
      </c>
      <c r="K2" s="7">
        <v>15270.64</v>
      </c>
      <c r="L2" s="8">
        <v>7703.43</v>
      </c>
      <c r="M2" s="9">
        <f t="shared" ref="M2:M31" si="3">K2+L2</f>
        <v>22974.07</v>
      </c>
      <c r="N2" s="7">
        <v>18603.16</v>
      </c>
      <c r="O2" s="8">
        <v>7879.04</v>
      </c>
      <c r="P2" s="9">
        <f t="shared" ref="P2:P31" si="4">N2+O2</f>
        <v>26482.2</v>
      </c>
      <c r="Q2" s="7">
        <v>5537.05</v>
      </c>
      <c r="R2" s="8">
        <v>3286.76</v>
      </c>
      <c r="S2" s="9">
        <f t="shared" ref="S2:S31" si="5">Q2+R2</f>
        <v>8823.8100000000013</v>
      </c>
      <c r="T2" s="7">
        <v>10331.6</v>
      </c>
      <c r="U2" s="8">
        <v>3849.71</v>
      </c>
      <c r="V2" s="9">
        <f t="shared" ref="V2:V31" si="6">T2+U2</f>
        <v>14181.310000000001</v>
      </c>
      <c r="W2" s="10">
        <f t="shared" ref="W2:W31" si="7">D2+G2+J2+M2+P2+S2+V2</f>
        <v>188680.57</v>
      </c>
    </row>
    <row r="3" spans="1:23" ht="18" customHeight="1" x14ac:dyDescent="0.3">
      <c r="A3" s="11" t="s">
        <v>88</v>
      </c>
      <c r="B3" s="12">
        <v>63022.11</v>
      </c>
      <c r="C3" s="13">
        <v>29779.83</v>
      </c>
      <c r="D3" s="14">
        <f t="shared" si="0"/>
        <v>92801.94</v>
      </c>
      <c r="E3" s="12">
        <v>9179.59</v>
      </c>
      <c r="F3" s="13">
        <v>3520.5</v>
      </c>
      <c r="G3" s="14">
        <f t="shared" si="1"/>
        <v>12700.09</v>
      </c>
      <c r="H3" s="12">
        <v>9619.2099999999991</v>
      </c>
      <c r="I3" s="13">
        <v>6317.09</v>
      </c>
      <c r="J3" s="14">
        <f t="shared" si="2"/>
        <v>15936.3</v>
      </c>
      <c r="K3" s="12">
        <v>0</v>
      </c>
      <c r="L3" s="13">
        <v>7027</v>
      </c>
      <c r="M3" s="14">
        <f t="shared" si="3"/>
        <v>7027</v>
      </c>
      <c r="N3" s="12">
        <v>18650.849999999999</v>
      </c>
      <c r="O3" s="13">
        <v>9538.5</v>
      </c>
      <c r="P3" s="14">
        <f t="shared" si="4"/>
        <v>28189.35</v>
      </c>
      <c r="Q3" s="12">
        <v>4659.8</v>
      </c>
      <c r="R3" s="13">
        <v>3225.99</v>
      </c>
      <c r="S3" s="14">
        <f t="shared" si="5"/>
        <v>7885.79</v>
      </c>
      <c r="T3" s="12">
        <v>7516.23</v>
      </c>
      <c r="U3" s="13">
        <v>4207.07</v>
      </c>
      <c r="V3" s="14">
        <f t="shared" si="6"/>
        <v>11723.3</v>
      </c>
      <c r="W3" s="15">
        <f t="shared" si="7"/>
        <v>176263.77</v>
      </c>
    </row>
    <row r="4" spans="1:23" ht="18" customHeight="1" x14ac:dyDescent="0.3">
      <c r="A4" s="6" t="s">
        <v>89</v>
      </c>
      <c r="B4" s="7">
        <v>69972.66</v>
      </c>
      <c r="C4" s="8">
        <v>0</v>
      </c>
      <c r="D4" s="9">
        <f t="shared" si="0"/>
        <v>69972.66</v>
      </c>
      <c r="E4" s="7">
        <v>6934.88</v>
      </c>
      <c r="F4" s="8">
        <v>2655.44</v>
      </c>
      <c r="G4" s="9">
        <f t="shared" si="1"/>
        <v>9590.32</v>
      </c>
      <c r="H4" s="7">
        <v>11211.96</v>
      </c>
      <c r="I4" s="8">
        <v>0</v>
      </c>
      <c r="J4" s="9">
        <f t="shared" si="2"/>
        <v>11211.96</v>
      </c>
      <c r="K4" s="7">
        <v>13979.7</v>
      </c>
      <c r="L4" s="8">
        <v>6130.65</v>
      </c>
      <c r="M4" s="9">
        <f t="shared" si="3"/>
        <v>20110.349999999999</v>
      </c>
      <c r="N4" s="7">
        <v>16260.59</v>
      </c>
      <c r="O4" s="8">
        <v>7823.57</v>
      </c>
      <c r="P4" s="9">
        <f t="shared" si="4"/>
        <v>24084.16</v>
      </c>
      <c r="Q4" s="7">
        <v>4735.99</v>
      </c>
      <c r="R4" s="8">
        <v>3073.13</v>
      </c>
      <c r="S4" s="9">
        <f t="shared" si="5"/>
        <v>7809.12</v>
      </c>
      <c r="T4" s="7">
        <v>8644.4699999999993</v>
      </c>
      <c r="U4" s="8">
        <v>4361.08</v>
      </c>
      <c r="V4" s="9">
        <f t="shared" si="6"/>
        <v>13005.55</v>
      </c>
      <c r="W4" s="10">
        <f t="shared" si="7"/>
        <v>155784.12</v>
      </c>
    </row>
    <row r="5" spans="1:23" ht="18" customHeight="1" x14ac:dyDescent="0.3">
      <c r="A5" s="11" t="s">
        <v>90</v>
      </c>
      <c r="B5" s="12">
        <v>79397.52</v>
      </c>
      <c r="C5" s="13">
        <v>25091.040000000001</v>
      </c>
      <c r="D5" s="14">
        <f t="shared" si="0"/>
        <v>104488.56</v>
      </c>
      <c r="E5" s="12">
        <v>7213.83</v>
      </c>
      <c r="F5" s="13">
        <v>3092.85</v>
      </c>
      <c r="G5" s="14">
        <f t="shared" si="1"/>
        <v>10306.68</v>
      </c>
      <c r="H5" s="12">
        <v>10091.11</v>
      </c>
      <c r="I5" s="13">
        <v>5458.33</v>
      </c>
      <c r="J5" s="14">
        <f t="shared" si="2"/>
        <v>15549.44</v>
      </c>
      <c r="K5" s="12">
        <v>15733.6</v>
      </c>
      <c r="L5" s="13">
        <v>6847.82</v>
      </c>
      <c r="M5" s="14">
        <f t="shared" si="3"/>
        <v>22581.42</v>
      </c>
      <c r="N5" s="12">
        <v>18278.95</v>
      </c>
      <c r="O5" s="13">
        <v>7449.27</v>
      </c>
      <c r="P5" s="14">
        <f t="shared" si="4"/>
        <v>25728.22</v>
      </c>
      <c r="Q5" s="12">
        <v>4939.24</v>
      </c>
      <c r="R5" s="13">
        <v>3266.8</v>
      </c>
      <c r="S5" s="14">
        <f t="shared" si="5"/>
        <v>8206.0400000000009</v>
      </c>
      <c r="T5" s="12">
        <v>8414.7900000000009</v>
      </c>
      <c r="U5" s="13">
        <v>3819.5</v>
      </c>
      <c r="V5" s="14">
        <f t="shared" si="6"/>
        <v>12234.29</v>
      </c>
      <c r="W5" s="15">
        <f t="shared" si="7"/>
        <v>199094.65</v>
      </c>
    </row>
    <row r="6" spans="1:23" ht="18" customHeight="1" x14ac:dyDescent="0.3">
      <c r="A6" s="6" t="s">
        <v>91</v>
      </c>
      <c r="B6" s="7">
        <v>59320.43</v>
      </c>
      <c r="C6" s="8">
        <v>32751.119999999999</v>
      </c>
      <c r="D6" s="9">
        <f t="shared" si="0"/>
        <v>92071.55</v>
      </c>
      <c r="E6" s="7">
        <v>7948.98</v>
      </c>
      <c r="F6" s="8">
        <v>2987.76</v>
      </c>
      <c r="G6" s="9">
        <f t="shared" si="1"/>
        <v>10936.74</v>
      </c>
      <c r="H6" s="7">
        <v>11149.74</v>
      </c>
      <c r="I6" s="8">
        <v>7098.91</v>
      </c>
      <c r="J6" s="9">
        <f t="shared" si="2"/>
        <v>18248.650000000001</v>
      </c>
      <c r="K6" s="7">
        <v>12883.12</v>
      </c>
      <c r="L6" s="8">
        <v>8245.0499999999993</v>
      </c>
      <c r="M6" s="9">
        <f t="shared" si="3"/>
        <v>21128.17</v>
      </c>
      <c r="N6" s="7">
        <v>17143.53</v>
      </c>
      <c r="O6" s="8">
        <v>8318.6</v>
      </c>
      <c r="P6" s="9">
        <f t="shared" si="4"/>
        <v>25462.129999999997</v>
      </c>
      <c r="Q6" s="7">
        <v>5054.3900000000003</v>
      </c>
      <c r="R6" s="8">
        <v>3100.56</v>
      </c>
      <c r="S6" s="9">
        <f t="shared" si="5"/>
        <v>8154.9500000000007</v>
      </c>
      <c r="T6" s="7">
        <v>10392.08</v>
      </c>
      <c r="U6" s="8">
        <v>4123.05</v>
      </c>
      <c r="V6" s="9">
        <f t="shared" si="6"/>
        <v>14515.130000000001</v>
      </c>
      <c r="W6" s="10">
        <f t="shared" si="7"/>
        <v>190517.32</v>
      </c>
    </row>
    <row r="7" spans="1:23" ht="18" customHeight="1" x14ac:dyDescent="0.3">
      <c r="A7" s="11" t="s">
        <v>92</v>
      </c>
      <c r="B7" s="12">
        <v>75924.25</v>
      </c>
      <c r="C7" s="13">
        <v>29869.040000000001</v>
      </c>
      <c r="D7" s="14">
        <f t="shared" si="0"/>
        <v>105793.29000000001</v>
      </c>
      <c r="E7" s="12">
        <v>8182.96</v>
      </c>
      <c r="F7" s="13">
        <v>2659.75</v>
      </c>
      <c r="G7" s="14">
        <f t="shared" si="1"/>
        <v>10842.71</v>
      </c>
      <c r="H7" s="12">
        <v>9547.24</v>
      </c>
      <c r="I7" s="13">
        <v>6305.29</v>
      </c>
      <c r="J7" s="14">
        <f t="shared" si="2"/>
        <v>15852.529999999999</v>
      </c>
      <c r="K7" s="12">
        <v>13179.12</v>
      </c>
      <c r="L7" s="13">
        <v>6513.12</v>
      </c>
      <c r="M7" s="14">
        <f t="shared" si="3"/>
        <v>19692.240000000002</v>
      </c>
      <c r="N7" s="12">
        <v>18795.45</v>
      </c>
      <c r="O7" s="13">
        <v>0</v>
      </c>
      <c r="P7" s="14">
        <f t="shared" si="4"/>
        <v>18795.45</v>
      </c>
      <c r="Q7" s="12">
        <v>5548.67</v>
      </c>
      <c r="R7" s="13">
        <v>2893.34</v>
      </c>
      <c r="S7" s="14">
        <f t="shared" si="5"/>
        <v>8442.01</v>
      </c>
      <c r="T7" s="12">
        <v>8785.1</v>
      </c>
      <c r="U7" s="13">
        <v>4933.8</v>
      </c>
      <c r="V7" s="14">
        <f t="shared" si="6"/>
        <v>13718.900000000001</v>
      </c>
      <c r="W7" s="15">
        <f t="shared" si="7"/>
        <v>193137.13</v>
      </c>
    </row>
    <row r="8" spans="1:23" ht="18" customHeight="1" x14ac:dyDescent="0.3">
      <c r="A8" s="6" t="s">
        <v>93</v>
      </c>
      <c r="B8" s="7">
        <v>72802.179999999993</v>
      </c>
      <c r="C8" s="8">
        <v>27633.31</v>
      </c>
      <c r="D8" s="9">
        <f t="shared" si="0"/>
        <v>100435.48999999999</v>
      </c>
      <c r="E8" s="7">
        <v>7996.92</v>
      </c>
      <c r="F8" s="8">
        <v>2599.85</v>
      </c>
      <c r="G8" s="9">
        <f t="shared" si="1"/>
        <v>10596.77</v>
      </c>
      <c r="H8" s="7">
        <v>12658.16</v>
      </c>
      <c r="I8" s="8">
        <v>6491.76</v>
      </c>
      <c r="J8" s="9">
        <f t="shared" si="2"/>
        <v>19149.919999999998</v>
      </c>
      <c r="K8" s="7">
        <v>13352.3</v>
      </c>
      <c r="L8" s="8">
        <v>7813</v>
      </c>
      <c r="M8" s="9">
        <f t="shared" si="3"/>
        <v>21165.3</v>
      </c>
      <c r="N8" s="7">
        <v>18717.189999999999</v>
      </c>
      <c r="O8" s="8">
        <v>10538.66</v>
      </c>
      <c r="P8" s="9">
        <f t="shared" si="4"/>
        <v>29255.85</v>
      </c>
      <c r="Q8" s="7">
        <v>5639.48</v>
      </c>
      <c r="R8" s="8">
        <v>2988.38</v>
      </c>
      <c r="S8" s="9">
        <f t="shared" si="5"/>
        <v>8627.86</v>
      </c>
      <c r="T8" s="7">
        <v>7513.08</v>
      </c>
      <c r="U8" s="8">
        <v>3750.98</v>
      </c>
      <c r="V8" s="9">
        <f t="shared" si="6"/>
        <v>11264.06</v>
      </c>
      <c r="W8" s="10">
        <f t="shared" si="7"/>
        <v>200495.25</v>
      </c>
    </row>
    <row r="9" spans="1:23" ht="18" customHeight="1" x14ac:dyDescent="0.3">
      <c r="A9" s="11" t="s">
        <v>94</v>
      </c>
      <c r="B9" s="12">
        <v>67232.44</v>
      </c>
      <c r="C9" s="13">
        <v>34200.58</v>
      </c>
      <c r="D9" s="14">
        <f t="shared" si="0"/>
        <v>101433.02</v>
      </c>
      <c r="E9" s="12">
        <v>8160.7</v>
      </c>
      <c r="F9" s="13">
        <v>2571.42</v>
      </c>
      <c r="G9" s="14">
        <f t="shared" si="1"/>
        <v>10732.119999999999</v>
      </c>
      <c r="H9" s="12">
        <v>10809.63</v>
      </c>
      <c r="I9" s="13">
        <v>0</v>
      </c>
      <c r="J9" s="14">
        <f t="shared" si="2"/>
        <v>10809.63</v>
      </c>
      <c r="K9" s="12">
        <v>12890.35</v>
      </c>
      <c r="L9" s="13">
        <v>6216.48</v>
      </c>
      <c r="M9" s="14">
        <f t="shared" si="3"/>
        <v>19106.830000000002</v>
      </c>
      <c r="N9" s="12">
        <v>19045.64</v>
      </c>
      <c r="O9" s="13">
        <v>8413.69</v>
      </c>
      <c r="P9" s="14">
        <f t="shared" si="4"/>
        <v>27459.33</v>
      </c>
      <c r="Q9" s="12">
        <v>5920.86</v>
      </c>
      <c r="R9" s="13">
        <v>2497.5</v>
      </c>
      <c r="S9" s="14">
        <f t="shared" si="5"/>
        <v>8418.36</v>
      </c>
      <c r="T9" s="12">
        <v>7835.81</v>
      </c>
      <c r="U9" s="13">
        <v>4636.18</v>
      </c>
      <c r="V9" s="14">
        <f t="shared" si="6"/>
        <v>12471.990000000002</v>
      </c>
      <c r="W9" s="15">
        <f t="shared" si="7"/>
        <v>190431.27999999997</v>
      </c>
    </row>
    <row r="10" spans="1:23" ht="18" customHeight="1" x14ac:dyDescent="0.3">
      <c r="A10" s="6" t="s">
        <v>95</v>
      </c>
      <c r="B10" s="7">
        <v>78063.38</v>
      </c>
      <c r="C10" s="8">
        <v>26073.53</v>
      </c>
      <c r="D10" s="9">
        <f t="shared" si="0"/>
        <v>104136.91</v>
      </c>
      <c r="E10" s="7">
        <v>9142.35</v>
      </c>
      <c r="F10" s="8">
        <v>3611.26</v>
      </c>
      <c r="G10" s="9">
        <f t="shared" si="1"/>
        <v>12753.61</v>
      </c>
      <c r="H10" s="7">
        <v>10864.56</v>
      </c>
      <c r="I10" s="8">
        <v>5945.33</v>
      </c>
      <c r="J10" s="9">
        <f t="shared" si="2"/>
        <v>16809.89</v>
      </c>
      <c r="K10" s="7">
        <v>12966.28</v>
      </c>
      <c r="L10" s="8">
        <v>6827.04</v>
      </c>
      <c r="M10" s="9">
        <f t="shared" si="3"/>
        <v>19793.32</v>
      </c>
      <c r="N10" s="7">
        <v>16426.34</v>
      </c>
      <c r="O10" s="8">
        <v>10392.290000000001</v>
      </c>
      <c r="P10" s="9">
        <f t="shared" si="4"/>
        <v>26818.63</v>
      </c>
      <c r="Q10" s="7">
        <v>5003.82</v>
      </c>
      <c r="R10" s="8">
        <v>3011.34</v>
      </c>
      <c r="S10" s="9">
        <f t="shared" si="5"/>
        <v>8015.16</v>
      </c>
      <c r="T10" s="7">
        <v>10348.06</v>
      </c>
      <c r="U10" s="8">
        <v>4182.7700000000004</v>
      </c>
      <c r="V10" s="9">
        <f t="shared" si="6"/>
        <v>14530.83</v>
      </c>
      <c r="W10" s="10">
        <f t="shared" si="7"/>
        <v>202858.35</v>
      </c>
    </row>
    <row r="11" spans="1:23" ht="18" customHeight="1" x14ac:dyDescent="0.3">
      <c r="A11" s="11" t="s">
        <v>96</v>
      </c>
      <c r="B11" s="12">
        <v>0</v>
      </c>
      <c r="C11" s="13">
        <v>31734.46</v>
      </c>
      <c r="D11" s="14">
        <f t="shared" si="0"/>
        <v>31734.46</v>
      </c>
      <c r="E11" s="12">
        <v>9165.4599999999991</v>
      </c>
      <c r="F11" s="13">
        <v>3178.76</v>
      </c>
      <c r="G11" s="14">
        <f t="shared" si="1"/>
        <v>12344.22</v>
      </c>
      <c r="H11" s="12">
        <v>10677.59</v>
      </c>
      <c r="I11" s="13">
        <v>5925.71</v>
      </c>
      <c r="J11" s="14">
        <f t="shared" si="2"/>
        <v>16603.3</v>
      </c>
      <c r="K11" s="12">
        <v>13972.32</v>
      </c>
      <c r="L11" s="13">
        <v>7389.8</v>
      </c>
      <c r="M11" s="14">
        <f t="shared" si="3"/>
        <v>21362.12</v>
      </c>
      <c r="N11" s="12">
        <v>15528.97</v>
      </c>
      <c r="O11" s="13">
        <v>9872.2900000000009</v>
      </c>
      <c r="P11" s="14">
        <f t="shared" si="4"/>
        <v>25401.260000000002</v>
      </c>
      <c r="Q11" s="12">
        <v>5636.29</v>
      </c>
      <c r="R11" s="13">
        <v>2971.44</v>
      </c>
      <c r="S11" s="14">
        <f t="shared" si="5"/>
        <v>8607.73</v>
      </c>
      <c r="T11" s="12">
        <v>8673.58</v>
      </c>
      <c r="U11" s="13">
        <v>5204.28</v>
      </c>
      <c r="V11" s="14">
        <f t="shared" si="6"/>
        <v>13877.86</v>
      </c>
      <c r="W11" s="15">
        <f t="shared" si="7"/>
        <v>129930.94999999998</v>
      </c>
    </row>
    <row r="12" spans="1:23" ht="18" customHeight="1" x14ac:dyDescent="0.3">
      <c r="A12" s="6" t="s">
        <v>97</v>
      </c>
      <c r="B12" s="7">
        <v>69884.41</v>
      </c>
      <c r="C12" s="8">
        <v>27736.1</v>
      </c>
      <c r="D12" s="9">
        <f t="shared" si="0"/>
        <v>97620.510000000009</v>
      </c>
      <c r="E12" s="7">
        <v>6568.73</v>
      </c>
      <c r="F12" s="8">
        <v>3397.09</v>
      </c>
      <c r="G12" s="9">
        <f t="shared" si="1"/>
        <v>9965.82</v>
      </c>
      <c r="H12" s="7">
        <v>11163.79</v>
      </c>
      <c r="I12" s="8">
        <v>6646.94</v>
      </c>
      <c r="J12" s="9">
        <f t="shared" si="2"/>
        <v>17810.73</v>
      </c>
      <c r="K12" s="7">
        <v>13357.24</v>
      </c>
      <c r="L12" s="8">
        <v>6381.2</v>
      </c>
      <c r="M12" s="9">
        <f t="shared" si="3"/>
        <v>19738.439999999999</v>
      </c>
      <c r="N12" s="7">
        <v>15262.84</v>
      </c>
      <c r="O12" s="8">
        <v>8695.07</v>
      </c>
      <c r="P12" s="9">
        <f t="shared" si="4"/>
        <v>23957.91</v>
      </c>
      <c r="Q12" s="7">
        <v>6056.56</v>
      </c>
      <c r="R12" s="8">
        <v>2683.07</v>
      </c>
      <c r="S12" s="9">
        <f t="shared" si="5"/>
        <v>8739.630000000001</v>
      </c>
      <c r="T12" s="7">
        <v>8726.49</v>
      </c>
      <c r="U12" s="8">
        <v>5044.6499999999996</v>
      </c>
      <c r="V12" s="9">
        <f t="shared" si="6"/>
        <v>13771.14</v>
      </c>
      <c r="W12" s="10">
        <f t="shared" si="7"/>
        <v>191604.18</v>
      </c>
    </row>
    <row r="13" spans="1:23" ht="18" customHeight="1" x14ac:dyDescent="0.3">
      <c r="A13" s="11" t="s">
        <v>98</v>
      </c>
      <c r="B13" s="12">
        <v>68058.080000000002</v>
      </c>
      <c r="C13" s="13">
        <v>30086.83</v>
      </c>
      <c r="D13" s="14">
        <f t="shared" si="0"/>
        <v>98144.91</v>
      </c>
      <c r="E13" s="12">
        <v>9152.75</v>
      </c>
      <c r="F13" s="13">
        <v>2605.04</v>
      </c>
      <c r="G13" s="14">
        <f t="shared" si="1"/>
        <v>11757.79</v>
      </c>
      <c r="H13" s="12">
        <v>10896.65</v>
      </c>
      <c r="I13" s="13">
        <v>6256.76</v>
      </c>
      <c r="J13" s="14">
        <f t="shared" si="2"/>
        <v>17153.41</v>
      </c>
      <c r="K13" s="12">
        <v>12166.6</v>
      </c>
      <c r="L13" s="13">
        <v>6770.35</v>
      </c>
      <c r="M13" s="14">
        <f t="shared" si="3"/>
        <v>18936.95</v>
      </c>
      <c r="N13" s="12">
        <v>16130.96</v>
      </c>
      <c r="O13" s="13">
        <v>10066.57</v>
      </c>
      <c r="P13" s="14">
        <f t="shared" si="4"/>
        <v>26197.53</v>
      </c>
      <c r="Q13" s="12">
        <v>5710.13</v>
      </c>
      <c r="R13" s="13">
        <v>3011.26</v>
      </c>
      <c r="S13" s="14">
        <f t="shared" si="5"/>
        <v>8721.39</v>
      </c>
      <c r="T13" s="12">
        <v>7413.49</v>
      </c>
      <c r="U13" s="13">
        <v>4487.1499999999996</v>
      </c>
      <c r="V13" s="14">
        <f t="shared" si="6"/>
        <v>11900.64</v>
      </c>
      <c r="W13" s="15">
        <f t="shared" si="7"/>
        <v>192812.62000000005</v>
      </c>
    </row>
    <row r="14" spans="1:23" ht="18" customHeight="1" x14ac:dyDescent="0.3">
      <c r="A14" s="6" t="s">
        <v>99</v>
      </c>
      <c r="B14" s="7">
        <v>0</v>
      </c>
      <c r="C14" s="8">
        <v>32811.11</v>
      </c>
      <c r="D14" s="9">
        <f t="shared" si="0"/>
        <v>32811.11</v>
      </c>
      <c r="E14" s="7">
        <v>8288</v>
      </c>
      <c r="F14" s="8">
        <v>0</v>
      </c>
      <c r="G14" s="9">
        <f t="shared" si="1"/>
        <v>8288</v>
      </c>
      <c r="H14" s="7">
        <v>11687.4</v>
      </c>
      <c r="I14" s="8">
        <v>6339.86</v>
      </c>
      <c r="J14" s="9">
        <f t="shared" si="2"/>
        <v>18027.259999999998</v>
      </c>
      <c r="K14" s="7">
        <v>13568.59</v>
      </c>
      <c r="L14" s="8">
        <v>0</v>
      </c>
      <c r="M14" s="9">
        <f t="shared" si="3"/>
        <v>13568.59</v>
      </c>
      <c r="N14" s="7">
        <v>16857.27</v>
      </c>
      <c r="O14" s="8">
        <v>8127.34</v>
      </c>
      <c r="P14" s="9">
        <f t="shared" si="4"/>
        <v>24984.61</v>
      </c>
      <c r="Q14" s="7">
        <v>5794.85</v>
      </c>
      <c r="R14" s="8">
        <v>3232.54</v>
      </c>
      <c r="S14" s="9">
        <f t="shared" si="5"/>
        <v>9027.39</v>
      </c>
      <c r="T14" s="7">
        <v>8997.56</v>
      </c>
      <c r="U14" s="8">
        <v>4664.1000000000004</v>
      </c>
      <c r="V14" s="9">
        <f t="shared" si="6"/>
        <v>13661.66</v>
      </c>
      <c r="W14" s="10">
        <f t="shared" si="7"/>
        <v>120368.62</v>
      </c>
    </row>
    <row r="15" spans="1:23" ht="18" customHeight="1" x14ac:dyDescent="0.3">
      <c r="A15" s="11" t="s">
        <v>100</v>
      </c>
      <c r="B15" s="12">
        <v>69262.460000000006</v>
      </c>
      <c r="C15" s="13">
        <v>0</v>
      </c>
      <c r="D15" s="14">
        <f t="shared" si="0"/>
        <v>69262.460000000006</v>
      </c>
      <c r="E15" s="12">
        <v>6593.75</v>
      </c>
      <c r="F15" s="13">
        <v>3622.64</v>
      </c>
      <c r="G15" s="14">
        <f t="shared" si="1"/>
        <v>10216.39</v>
      </c>
      <c r="H15" s="12">
        <v>11757.58</v>
      </c>
      <c r="I15" s="13">
        <v>7488.46</v>
      </c>
      <c r="J15" s="14">
        <f t="shared" si="2"/>
        <v>19246.04</v>
      </c>
      <c r="K15" s="12">
        <v>14358.95</v>
      </c>
      <c r="L15" s="13">
        <v>6894.52</v>
      </c>
      <c r="M15" s="14">
        <f t="shared" si="3"/>
        <v>21253.47</v>
      </c>
      <c r="N15" s="12">
        <v>19825.009999999998</v>
      </c>
      <c r="O15" s="13">
        <v>8248.9</v>
      </c>
      <c r="P15" s="14">
        <f t="shared" si="4"/>
        <v>28073.909999999996</v>
      </c>
      <c r="Q15" s="12">
        <v>4545.13</v>
      </c>
      <c r="R15" s="13">
        <v>3231.34</v>
      </c>
      <c r="S15" s="14">
        <f t="shared" si="5"/>
        <v>7776.47</v>
      </c>
      <c r="T15" s="12">
        <v>8032.15</v>
      </c>
      <c r="U15" s="13">
        <v>4779.91</v>
      </c>
      <c r="V15" s="14">
        <f t="shared" si="6"/>
        <v>12812.06</v>
      </c>
      <c r="W15" s="15">
        <f t="shared" si="7"/>
        <v>168640.80000000002</v>
      </c>
    </row>
    <row r="16" spans="1:23" ht="18" customHeight="1" x14ac:dyDescent="0.3">
      <c r="A16" s="6" t="s">
        <v>101</v>
      </c>
      <c r="B16" s="7">
        <v>83715.66</v>
      </c>
      <c r="C16" s="8">
        <v>32715.66</v>
      </c>
      <c r="D16" s="9">
        <f t="shared" si="0"/>
        <v>116431.32</v>
      </c>
      <c r="E16" s="7">
        <v>8828.26</v>
      </c>
      <c r="F16" s="8">
        <v>3135.4</v>
      </c>
      <c r="G16" s="9">
        <f t="shared" si="1"/>
        <v>11963.66</v>
      </c>
      <c r="H16" s="7">
        <v>0</v>
      </c>
      <c r="I16" s="8">
        <v>0</v>
      </c>
      <c r="J16" s="9">
        <f t="shared" si="2"/>
        <v>0</v>
      </c>
      <c r="K16" s="7">
        <v>14733.37</v>
      </c>
      <c r="L16" s="8">
        <v>8176.62</v>
      </c>
      <c r="M16" s="9">
        <f t="shared" si="3"/>
        <v>22909.99</v>
      </c>
      <c r="N16" s="7">
        <v>20429.400000000001</v>
      </c>
      <c r="O16" s="8">
        <v>7666.33</v>
      </c>
      <c r="P16" s="9">
        <f t="shared" si="4"/>
        <v>28095.730000000003</v>
      </c>
      <c r="Q16" s="7">
        <v>5727.28</v>
      </c>
      <c r="R16" s="8">
        <v>2736.48</v>
      </c>
      <c r="S16" s="9">
        <f t="shared" si="5"/>
        <v>8463.76</v>
      </c>
      <c r="T16" s="7">
        <v>10382.61</v>
      </c>
      <c r="U16" s="8">
        <v>4455.9399999999996</v>
      </c>
      <c r="V16" s="9">
        <f t="shared" si="6"/>
        <v>14838.55</v>
      </c>
      <c r="W16" s="10">
        <f t="shared" si="7"/>
        <v>202703.01</v>
      </c>
    </row>
    <row r="17" spans="1:23" ht="18" customHeight="1" x14ac:dyDescent="0.3">
      <c r="A17" s="11" t="s">
        <v>102</v>
      </c>
      <c r="B17" s="12">
        <v>62712.84</v>
      </c>
      <c r="C17" s="13">
        <v>33892.03</v>
      </c>
      <c r="D17" s="14">
        <f t="shared" si="0"/>
        <v>96604.87</v>
      </c>
      <c r="E17" s="12">
        <v>8283.9</v>
      </c>
      <c r="F17" s="13">
        <v>3640.64</v>
      </c>
      <c r="G17" s="14">
        <f t="shared" si="1"/>
        <v>11924.539999999999</v>
      </c>
      <c r="H17" s="12">
        <v>11069.48</v>
      </c>
      <c r="I17" s="13">
        <v>7105.55</v>
      </c>
      <c r="J17" s="14">
        <f t="shared" si="2"/>
        <v>18175.03</v>
      </c>
      <c r="K17" s="12">
        <v>14650.14</v>
      </c>
      <c r="L17" s="13">
        <v>7665.8</v>
      </c>
      <c r="M17" s="14">
        <f t="shared" si="3"/>
        <v>22315.94</v>
      </c>
      <c r="N17" s="12">
        <v>20996.59</v>
      </c>
      <c r="O17" s="13">
        <v>9091.0499999999993</v>
      </c>
      <c r="P17" s="14">
        <f t="shared" si="4"/>
        <v>30087.64</v>
      </c>
      <c r="Q17" s="12">
        <v>5665.51</v>
      </c>
      <c r="R17" s="13">
        <v>2320.4299999999998</v>
      </c>
      <c r="S17" s="14">
        <f t="shared" si="5"/>
        <v>7985.9400000000005</v>
      </c>
      <c r="T17" s="12">
        <v>8332.6299999999992</v>
      </c>
      <c r="U17" s="13">
        <v>4031.15</v>
      </c>
      <c r="V17" s="14">
        <f t="shared" si="6"/>
        <v>12363.779999999999</v>
      </c>
      <c r="W17" s="15">
        <f t="shared" si="7"/>
        <v>199457.73999999996</v>
      </c>
    </row>
    <row r="18" spans="1:23" ht="18" customHeight="1" x14ac:dyDescent="0.3">
      <c r="A18" s="6" t="s">
        <v>103</v>
      </c>
      <c r="B18" s="7">
        <v>83248.52</v>
      </c>
      <c r="C18" s="8">
        <v>32683.82</v>
      </c>
      <c r="D18" s="9">
        <f t="shared" si="0"/>
        <v>115932.34</v>
      </c>
      <c r="E18" s="7">
        <v>6811.98</v>
      </c>
      <c r="F18" s="8">
        <v>3028.79</v>
      </c>
      <c r="G18" s="9">
        <f t="shared" si="1"/>
        <v>9840.77</v>
      </c>
      <c r="H18" s="7">
        <v>9104.5300000000007</v>
      </c>
      <c r="I18" s="8">
        <v>6624.49</v>
      </c>
      <c r="J18" s="9">
        <f t="shared" si="2"/>
        <v>15729.02</v>
      </c>
      <c r="K18" s="7">
        <v>15086.67</v>
      </c>
      <c r="L18" s="8">
        <v>6013.34</v>
      </c>
      <c r="M18" s="9">
        <f t="shared" si="3"/>
        <v>21100.010000000002</v>
      </c>
      <c r="N18" s="7">
        <v>15060.6</v>
      </c>
      <c r="O18" s="8">
        <v>9919.25</v>
      </c>
      <c r="P18" s="9">
        <f t="shared" si="4"/>
        <v>24979.85</v>
      </c>
      <c r="Q18" s="7">
        <v>5071.62</v>
      </c>
      <c r="R18" s="8">
        <v>2518.7199999999998</v>
      </c>
      <c r="S18" s="9">
        <f t="shared" si="5"/>
        <v>7590.34</v>
      </c>
      <c r="T18" s="7">
        <v>10082.24</v>
      </c>
      <c r="U18" s="8">
        <v>4758.37</v>
      </c>
      <c r="V18" s="9">
        <f t="shared" si="6"/>
        <v>14840.61</v>
      </c>
      <c r="W18" s="10">
        <f t="shared" si="7"/>
        <v>210012.94</v>
      </c>
    </row>
    <row r="19" spans="1:23" ht="18" customHeight="1" x14ac:dyDescent="0.3">
      <c r="A19" s="11" t="s">
        <v>104</v>
      </c>
      <c r="B19" s="12">
        <v>58532.99</v>
      </c>
      <c r="C19" s="13">
        <v>24887.59</v>
      </c>
      <c r="D19" s="14">
        <f t="shared" si="0"/>
        <v>83420.58</v>
      </c>
      <c r="E19" s="12">
        <v>6914.48</v>
      </c>
      <c r="F19" s="13">
        <v>2770.17</v>
      </c>
      <c r="G19" s="14">
        <f t="shared" si="1"/>
        <v>9684.65</v>
      </c>
      <c r="H19" s="12">
        <v>10531.01</v>
      </c>
      <c r="I19" s="13">
        <v>6522.63</v>
      </c>
      <c r="J19" s="14">
        <f t="shared" si="2"/>
        <v>17053.64</v>
      </c>
      <c r="K19" s="12">
        <v>15209.33</v>
      </c>
      <c r="L19" s="13">
        <v>6363.75</v>
      </c>
      <c r="M19" s="14">
        <f t="shared" si="3"/>
        <v>21573.08</v>
      </c>
      <c r="N19" s="12">
        <v>19429.400000000001</v>
      </c>
      <c r="O19" s="13">
        <v>9169.2199999999993</v>
      </c>
      <c r="P19" s="14">
        <f t="shared" si="4"/>
        <v>28598.620000000003</v>
      </c>
      <c r="Q19" s="12">
        <v>5170.91</v>
      </c>
      <c r="R19" s="13">
        <v>2615.4499999999998</v>
      </c>
      <c r="S19" s="14">
        <f t="shared" si="5"/>
        <v>7786.36</v>
      </c>
      <c r="T19" s="12">
        <v>8306.51</v>
      </c>
      <c r="U19" s="13">
        <v>3736.17</v>
      </c>
      <c r="V19" s="14">
        <f t="shared" si="6"/>
        <v>12042.68</v>
      </c>
      <c r="W19" s="15">
        <f t="shared" si="7"/>
        <v>180159.61</v>
      </c>
    </row>
    <row r="20" spans="1:23" ht="18" customHeight="1" x14ac:dyDescent="0.3">
      <c r="A20" s="6" t="s">
        <v>105</v>
      </c>
      <c r="B20" s="7">
        <v>80369.350000000006</v>
      </c>
      <c r="C20" s="8">
        <v>35003.230000000003</v>
      </c>
      <c r="D20" s="9">
        <f t="shared" si="0"/>
        <v>115372.58000000002</v>
      </c>
      <c r="E20" s="7">
        <v>7607.87</v>
      </c>
      <c r="F20" s="8">
        <v>3038.51</v>
      </c>
      <c r="G20" s="9">
        <f t="shared" si="1"/>
        <v>10646.380000000001</v>
      </c>
      <c r="H20" s="7">
        <v>12092.14</v>
      </c>
      <c r="I20" s="8">
        <v>5712.7</v>
      </c>
      <c r="J20" s="9">
        <f t="shared" si="2"/>
        <v>17804.84</v>
      </c>
      <c r="K20" s="7">
        <v>0</v>
      </c>
      <c r="L20" s="8">
        <v>7185.26</v>
      </c>
      <c r="M20" s="9">
        <f t="shared" si="3"/>
        <v>7185.26</v>
      </c>
      <c r="N20" s="7">
        <v>21121.67</v>
      </c>
      <c r="O20" s="8">
        <v>9298.0499999999993</v>
      </c>
      <c r="P20" s="9">
        <f t="shared" si="4"/>
        <v>30419.719999999998</v>
      </c>
      <c r="Q20" s="7">
        <v>5651.82</v>
      </c>
      <c r="R20" s="8">
        <v>2397.9299999999998</v>
      </c>
      <c r="S20" s="9">
        <f t="shared" si="5"/>
        <v>8049.75</v>
      </c>
      <c r="T20" s="7">
        <v>0</v>
      </c>
      <c r="U20" s="8">
        <v>4293.03</v>
      </c>
      <c r="V20" s="9">
        <f t="shared" si="6"/>
        <v>4293.03</v>
      </c>
      <c r="W20" s="10">
        <f t="shared" si="7"/>
        <v>193771.56000000003</v>
      </c>
    </row>
    <row r="21" spans="1:23" ht="18" customHeight="1" x14ac:dyDescent="0.3">
      <c r="A21" s="11" t="s">
        <v>106</v>
      </c>
      <c r="B21" s="12">
        <v>83609.399999999994</v>
      </c>
      <c r="C21" s="13">
        <v>28075.22</v>
      </c>
      <c r="D21" s="14">
        <f t="shared" si="0"/>
        <v>111684.62</v>
      </c>
      <c r="E21" s="12">
        <v>7657.19</v>
      </c>
      <c r="F21" s="13">
        <v>3186.95</v>
      </c>
      <c r="G21" s="14">
        <f t="shared" si="1"/>
        <v>10844.14</v>
      </c>
      <c r="H21" s="12">
        <v>0</v>
      </c>
      <c r="I21" s="13">
        <v>5389.95</v>
      </c>
      <c r="J21" s="14">
        <f t="shared" si="2"/>
        <v>5389.95</v>
      </c>
      <c r="K21" s="12">
        <v>15243.79</v>
      </c>
      <c r="L21" s="13">
        <v>7370</v>
      </c>
      <c r="M21" s="14">
        <f t="shared" si="3"/>
        <v>22613.79</v>
      </c>
      <c r="N21" s="12">
        <v>17019.45</v>
      </c>
      <c r="O21" s="13">
        <v>8401.98</v>
      </c>
      <c r="P21" s="14">
        <f t="shared" si="4"/>
        <v>25421.43</v>
      </c>
      <c r="Q21" s="12">
        <v>5327.11</v>
      </c>
      <c r="R21" s="13">
        <v>3122.74</v>
      </c>
      <c r="S21" s="14">
        <f t="shared" si="5"/>
        <v>8449.8499999999985</v>
      </c>
      <c r="T21" s="12">
        <v>8667.4500000000007</v>
      </c>
      <c r="U21" s="13">
        <v>4439.59</v>
      </c>
      <c r="V21" s="14">
        <f t="shared" si="6"/>
        <v>13107.04</v>
      </c>
      <c r="W21" s="15">
        <f t="shared" si="7"/>
        <v>197510.82</v>
      </c>
    </row>
    <row r="22" spans="1:23" ht="18" customHeight="1" x14ac:dyDescent="0.3">
      <c r="A22" s="6" t="s">
        <v>107</v>
      </c>
      <c r="B22" s="7">
        <v>61980.42</v>
      </c>
      <c r="C22" s="8">
        <v>30329.34</v>
      </c>
      <c r="D22" s="9">
        <f t="shared" si="0"/>
        <v>92309.759999999995</v>
      </c>
      <c r="E22" s="7">
        <v>9433.69</v>
      </c>
      <c r="F22" s="8">
        <v>3098.03</v>
      </c>
      <c r="G22" s="9">
        <f t="shared" si="1"/>
        <v>12531.720000000001</v>
      </c>
      <c r="H22" s="7">
        <v>10863.27</v>
      </c>
      <c r="I22" s="8">
        <v>6855.33</v>
      </c>
      <c r="J22" s="9">
        <f t="shared" si="2"/>
        <v>17718.599999999999</v>
      </c>
      <c r="K22" s="7">
        <v>12595.99</v>
      </c>
      <c r="L22" s="8">
        <v>5892.97</v>
      </c>
      <c r="M22" s="9">
        <f t="shared" si="3"/>
        <v>18488.96</v>
      </c>
      <c r="N22" s="7">
        <v>17202.509999999998</v>
      </c>
      <c r="O22" s="8">
        <v>8939.6299999999992</v>
      </c>
      <c r="P22" s="9">
        <f t="shared" si="4"/>
        <v>26142.14</v>
      </c>
      <c r="Q22" s="7">
        <v>4991.97</v>
      </c>
      <c r="R22" s="8">
        <v>2860.35</v>
      </c>
      <c r="S22" s="9">
        <f t="shared" si="5"/>
        <v>7852.32</v>
      </c>
      <c r="T22" s="7">
        <v>10273.18</v>
      </c>
      <c r="U22" s="8">
        <v>4850.08</v>
      </c>
      <c r="V22" s="9">
        <f t="shared" si="6"/>
        <v>15123.26</v>
      </c>
      <c r="W22" s="10">
        <f t="shared" si="7"/>
        <v>190166.76</v>
      </c>
    </row>
    <row r="23" spans="1:23" ht="18" customHeight="1" x14ac:dyDescent="0.3">
      <c r="A23" s="11" t="s">
        <v>108</v>
      </c>
      <c r="B23" s="12">
        <v>73746.320000000007</v>
      </c>
      <c r="C23" s="13">
        <v>33298.11</v>
      </c>
      <c r="D23" s="14">
        <f t="shared" si="0"/>
        <v>107044.43000000001</v>
      </c>
      <c r="E23" s="12">
        <v>7477.47</v>
      </c>
      <c r="F23" s="13">
        <v>3480.9</v>
      </c>
      <c r="G23" s="14">
        <f t="shared" si="1"/>
        <v>10958.37</v>
      </c>
      <c r="H23" s="12">
        <v>10795.86</v>
      </c>
      <c r="I23" s="13">
        <v>6165.04</v>
      </c>
      <c r="J23" s="14">
        <f t="shared" si="2"/>
        <v>16960.900000000001</v>
      </c>
      <c r="K23" s="12">
        <v>13619.29</v>
      </c>
      <c r="L23" s="13">
        <v>7677.05</v>
      </c>
      <c r="M23" s="14">
        <f t="shared" si="3"/>
        <v>21296.34</v>
      </c>
      <c r="N23" s="12">
        <v>17743.71</v>
      </c>
      <c r="O23" s="13">
        <v>10491.16</v>
      </c>
      <c r="P23" s="14">
        <f t="shared" si="4"/>
        <v>28234.87</v>
      </c>
      <c r="Q23" s="12">
        <v>5092.25</v>
      </c>
      <c r="R23" s="13">
        <v>3295.25</v>
      </c>
      <c r="S23" s="14">
        <f t="shared" si="5"/>
        <v>8387.5</v>
      </c>
      <c r="T23" s="12">
        <v>0</v>
      </c>
      <c r="U23" s="13">
        <v>3716.72</v>
      </c>
      <c r="V23" s="14">
        <f t="shared" si="6"/>
        <v>3716.72</v>
      </c>
      <c r="W23" s="15">
        <f t="shared" si="7"/>
        <v>196599.13</v>
      </c>
    </row>
    <row r="24" spans="1:23" ht="18" customHeight="1" x14ac:dyDescent="0.3">
      <c r="A24" s="6" t="s">
        <v>109</v>
      </c>
      <c r="B24" s="7">
        <v>74737.210000000006</v>
      </c>
      <c r="C24" s="8">
        <v>31471.25</v>
      </c>
      <c r="D24" s="9">
        <f t="shared" si="0"/>
        <v>106208.46</v>
      </c>
      <c r="E24" s="7">
        <v>7716.78</v>
      </c>
      <c r="F24" s="8">
        <v>2851.46</v>
      </c>
      <c r="G24" s="9">
        <f t="shared" si="1"/>
        <v>10568.24</v>
      </c>
      <c r="H24" s="7">
        <v>11231.15</v>
      </c>
      <c r="I24" s="8">
        <v>7101.42</v>
      </c>
      <c r="J24" s="9">
        <f t="shared" si="2"/>
        <v>18332.57</v>
      </c>
      <c r="K24" s="7">
        <v>13180.71</v>
      </c>
      <c r="L24" s="8">
        <v>7992.42</v>
      </c>
      <c r="M24" s="9">
        <f t="shared" si="3"/>
        <v>21173.129999999997</v>
      </c>
      <c r="N24" s="7">
        <v>19462.48</v>
      </c>
      <c r="O24" s="8">
        <v>8628.31</v>
      </c>
      <c r="P24" s="9">
        <f t="shared" si="4"/>
        <v>28090.79</v>
      </c>
      <c r="Q24" s="7">
        <v>6111.07</v>
      </c>
      <c r="R24" s="8">
        <v>3099.49</v>
      </c>
      <c r="S24" s="9">
        <f t="shared" si="5"/>
        <v>9210.56</v>
      </c>
      <c r="T24" s="7">
        <v>10174.68</v>
      </c>
      <c r="U24" s="8">
        <v>4810.7299999999996</v>
      </c>
      <c r="V24" s="9">
        <f t="shared" si="6"/>
        <v>14985.41</v>
      </c>
      <c r="W24" s="10">
        <f t="shared" si="7"/>
        <v>208569.16000000003</v>
      </c>
    </row>
    <row r="25" spans="1:23" ht="18" customHeight="1" x14ac:dyDescent="0.3">
      <c r="A25" s="11" t="s">
        <v>110</v>
      </c>
      <c r="B25" s="12">
        <v>73285.72</v>
      </c>
      <c r="C25" s="13">
        <v>28918.17</v>
      </c>
      <c r="D25" s="14">
        <f t="shared" si="0"/>
        <v>102203.89</v>
      </c>
      <c r="E25" s="12">
        <v>6620.56</v>
      </c>
      <c r="F25" s="13">
        <v>3482.79</v>
      </c>
      <c r="G25" s="14">
        <f t="shared" si="1"/>
        <v>10103.35</v>
      </c>
      <c r="H25" s="12">
        <v>9091.68</v>
      </c>
      <c r="I25" s="13">
        <v>6655.92</v>
      </c>
      <c r="J25" s="14">
        <f t="shared" si="2"/>
        <v>15747.6</v>
      </c>
      <c r="K25" s="12">
        <v>14734.02</v>
      </c>
      <c r="L25" s="13">
        <v>6092.44</v>
      </c>
      <c r="M25" s="14">
        <f t="shared" si="3"/>
        <v>20826.46</v>
      </c>
      <c r="N25" s="12">
        <v>19179.41</v>
      </c>
      <c r="O25" s="13">
        <v>8794.33</v>
      </c>
      <c r="P25" s="14">
        <f t="shared" si="4"/>
        <v>27973.739999999998</v>
      </c>
      <c r="Q25" s="12">
        <v>4765.46</v>
      </c>
      <c r="R25" s="13">
        <v>2588.48</v>
      </c>
      <c r="S25" s="14">
        <f t="shared" si="5"/>
        <v>7353.9400000000005</v>
      </c>
      <c r="T25" s="12">
        <v>9034.27</v>
      </c>
      <c r="U25" s="13">
        <v>0</v>
      </c>
      <c r="V25" s="14">
        <f t="shared" si="6"/>
        <v>9034.27</v>
      </c>
      <c r="W25" s="15">
        <f t="shared" si="7"/>
        <v>193243.25</v>
      </c>
    </row>
    <row r="26" spans="1:23" ht="18" customHeight="1" x14ac:dyDescent="0.3">
      <c r="A26" s="6" t="s">
        <v>111</v>
      </c>
      <c r="B26" s="7">
        <v>63282.11</v>
      </c>
      <c r="C26" s="8">
        <v>34639.599999999999</v>
      </c>
      <c r="D26" s="9">
        <f t="shared" si="0"/>
        <v>97921.709999999992</v>
      </c>
      <c r="E26" s="7">
        <v>7406.37</v>
      </c>
      <c r="F26" s="8">
        <v>3418.95</v>
      </c>
      <c r="G26" s="9">
        <f t="shared" si="1"/>
        <v>10825.32</v>
      </c>
      <c r="H26" s="7">
        <v>11542.53</v>
      </c>
      <c r="I26" s="8">
        <v>6631.14</v>
      </c>
      <c r="J26" s="9">
        <f t="shared" si="2"/>
        <v>18173.670000000002</v>
      </c>
      <c r="K26" s="7">
        <v>0</v>
      </c>
      <c r="L26" s="8">
        <v>8144.03</v>
      </c>
      <c r="M26" s="9">
        <f t="shared" si="3"/>
        <v>8144.03</v>
      </c>
      <c r="N26" s="7">
        <v>20675.04</v>
      </c>
      <c r="O26" s="8">
        <v>9691.93</v>
      </c>
      <c r="P26" s="9">
        <f t="shared" si="4"/>
        <v>30366.97</v>
      </c>
      <c r="Q26" s="7">
        <v>4993.26</v>
      </c>
      <c r="R26" s="8">
        <v>3281.55</v>
      </c>
      <c r="S26" s="9">
        <f t="shared" si="5"/>
        <v>8274.8100000000013</v>
      </c>
      <c r="T26" s="7">
        <v>7875.58</v>
      </c>
      <c r="U26" s="8">
        <v>4213.59</v>
      </c>
      <c r="V26" s="9">
        <f t="shared" si="6"/>
        <v>12089.17</v>
      </c>
      <c r="W26" s="10">
        <f t="shared" si="7"/>
        <v>185795.68000000002</v>
      </c>
    </row>
    <row r="27" spans="1:23" ht="18" customHeight="1" x14ac:dyDescent="0.3">
      <c r="A27" s="11" t="s">
        <v>112</v>
      </c>
      <c r="B27" s="12">
        <v>64704.86</v>
      </c>
      <c r="C27" s="13">
        <v>30957.3</v>
      </c>
      <c r="D27" s="14">
        <f t="shared" si="0"/>
        <v>95662.16</v>
      </c>
      <c r="E27" s="12">
        <v>8483.82</v>
      </c>
      <c r="F27" s="13">
        <v>2812.2</v>
      </c>
      <c r="G27" s="14">
        <f t="shared" si="1"/>
        <v>11296.02</v>
      </c>
      <c r="H27" s="12">
        <v>9333.8700000000008</v>
      </c>
      <c r="I27" s="13">
        <v>6886.92</v>
      </c>
      <c r="J27" s="14">
        <f t="shared" si="2"/>
        <v>16220.79</v>
      </c>
      <c r="K27" s="12">
        <v>11496.32</v>
      </c>
      <c r="L27" s="13">
        <v>0</v>
      </c>
      <c r="M27" s="14">
        <f t="shared" si="3"/>
        <v>11496.32</v>
      </c>
      <c r="N27" s="12">
        <v>18821.29</v>
      </c>
      <c r="O27" s="13">
        <v>9937.35</v>
      </c>
      <c r="P27" s="14">
        <f t="shared" si="4"/>
        <v>28758.639999999999</v>
      </c>
      <c r="Q27" s="12">
        <v>4618.24</v>
      </c>
      <c r="R27" s="13">
        <v>2976.52</v>
      </c>
      <c r="S27" s="14">
        <f t="shared" si="5"/>
        <v>7594.76</v>
      </c>
      <c r="T27" s="12">
        <v>8241.4599999999991</v>
      </c>
      <c r="U27" s="13">
        <v>4232.29</v>
      </c>
      <c r="V27" s="14">
        <f t="shared" si="6"/>
        <v>12473.75</v>
      </c>
      <c r="W27" s="15">
        <f t="shared" si="7"/>
        <v>183502.44</v>
      </c>
    </row>
    <row r="28" spans="1:23" ht="18" customHeight="1" x14ac:dyDescent="0.3">
      <c r="A28" s="6" t="s">
        <v>113</v>
      </c>
      <c r="B28" s="7">
        <v>79581.73</v>
      </c>
      <c r="C28" s="8">
        <v>31435.26</v>
      </c>
      <c r="D28" s="9">
        <f t="shared" si="0"/>
        <v>111016.98999999999</v>
      </c>
      <c r="E28" s="7">
        <v>9196.76</v>
      </c>
      <c r="F28" s="8">
        <v>2580.5</v>
      </c>
      <c r="G28" s="9">
        <f t="shared" si="1"/>
        <v>11777.26</v>
      </c>
      <c r="H28" s="7">
        <v>12862.36</v>
      </c>
      <c r="I28" s="8">
        <v>5319.71</v>
      </c>
      <c r="J28" s="9">
        <f t="shared" si="2"/>
        <v>18182.07</v>
      </c>
      <c r="K28" s="7">
        <v>14274.19</v>
      </c>
      <c r="L28" s="8">
        <v>7140.85</v>
      </c>
      <c r="M28" s="9">
        <f t="shared" si="3"/>
        <v>21415.040000000001</v>
      </c>
      <c r="N28" s="7">
        <v>17192.580000000002</v>
      </c>
      <c r="O28" s="8">
        <v>8734.2199999999993</v>
      </c>
      <c r="P28" s="9">
        <f t="shared" si="4"/>
        <v>25926.800000000003</v>
      </c>
      <c r="Q28" s="7">
        <v>4771.07</v>
      </c>
      <c r="R28" s="8">
        <v>2933.48</v>
      </c>
      <c r="S28" s="9">
        <f t="shared" si="5"/>
        <v>7704.5499999999993</v>
      </c>
      <c r="T28" s="7">
        <v>9885.1299999999992</v>
      </c>
      <c r="U28" s="8">
        <v>3831.17</v>
      </c>
      <c r="V28" s="9">
        <f t="shared" si="6"/>
        <v>13716.3</v>
      </c>
      <c r="W28" s="10">
        <f t="shared" si="7"/>
        <v>209739.00999999995</v>
      </c>
    </row>
    <row r="29" spans="1:23" ht="18" customHeight="1" x14ac:dyDescent="0.3">
      <c r="A29" s="11" t="s">
        <v>114</v>
      </c>
      <c r="B29" s="12">
        <v>65785.240000000005</v>
      </c>
      <c r="C29" s="13">
        <v>26942.33</v>
      </c>
      <c r="D29" s="14">
        <f t="shared" si="0"/>
        <v>92727.57</v>
      </c>
      <c r="E29" s="12">
        <v>8414.07</v>
      </c>
      <c r="F29" s="13">
        <v>3207.81</v>
      </c>
      <c r="G29" s="14">
        <f t="shared" si="1"/>
        <v>11621.88</v>
      </c>
      <c r="H29" s="12">
        <v>10096.16</v>
      </c>
      <c r="I29" s="13">
        <v>5340.88</v>
      </c>
      <c r="J29" s="14">
        <f t="shared" si="2"/>
        <v>15437.04</v>
      </c>
      <c r="K29" s="12">
        <v>16038.39</v>
      </c>
      <c r="L29" s="13">
        <v>7681</v>
      </c>
      <c r="M29" s="14">
        <f t="shared" si="3"/>
        <v>23719.39</v>
      </c>
      <c r="N29" s="12">
        <v>16807.45</v>
      </c>
      <c r="O29" s="13">
        <v>8225.3700000000008</v>
      </c>
      <c r="P29" s="14">
        <f t="shared" si="4"/>
        <v>25032.82</v>
      </c>
      <c r="Q29" s="12">
        <v>4676.08</v>
      </c>
      <c r="R29" s="13">
        <v>2516.0500000000002</v>
      </c>
      <c r="S29" s="14">
        <f t="shared" si="5"/>
        <v>7192.13</v>
      </c>
      <c r="T29" s="12">
        <v>8603.58</v>
      </c>
      <c r="U29" s="13">
        <v>5043.1000000000004</v>
      </c>
      <c r="V29" s="14">
        <f t="shared" si="6"/>
        <v>13646.68</v>
      </c>
      <c r="W29" s="15">
        <f t="shared" si="7"/>
        <v>189377.51</v>
      </c>
    </row>
    <row r="30" spans="1:23" ht="18" customHeight="1" x14ac:dyDescent="0.3">
      <c r="A30" s="6" t="s">
        <v>115</v>
      </c>
      <c r="B30" s="7">
        <v>70195.179999999993</v>
      </c>
      <c r="C30" s="8">
        <v>29445.96</v>
      </c>
      <c r="D30" s="9">
        <f t="shared" si="0"/>
        <v>99641.139999999985</v>
      </c>
      <c r="E30" s="7">
        <v>9351.86</v>
      </c>
      <c r="F30" s="8">
        <v>2852.45</v>
      </c>
      <c r="G30" s="9">
        <f t="shared" si="1"/>
        <v>12204.310000000001</v>
      </c>
      <c r="H30" s="7">
        <v>12686.47</v>
      </c>
      <c r="I30" s="8">
        <v>5584.15</v>
      </c>
      <c r="J30" s="9">
        <f t="shared" si="2"/>
        <v>18270.62</v>
      </c>
      <c r="K30" s="7">
        <v>14822.54</v>
      </c>
      <c r="L30" s="8">
        <v>8213.27</v>
      </c>
      <c r="M30" s="9">
        <f t="shared" si="3"/>
        <v>23035.81</v>
      </c>
      <c r="N30" s="7">
        <v>21112.92</v>
      </c>
      <c r="O30" s="8">
        <v>9713.76</v>
      </c>
      <c r="P30" s="9">
        <f t="shared" si="4"/>
        <v>30826.68</v>
      </c>
      <c r="Q30" s="7">
        <v>6112.64</v>
      </c>
      <c r="R30" s="8">
        <v>2517.44</v>
      </c>
      <c r="S30" s="9">
        <f t="shared" si="5"/>
        <v>8630.08</v>
      </c>
      <c r="T30" s="7">
        <v>9517.17</v>
      </c>
      <c r="U30" s="8">
        <v>4924.03</v>
      </c>
      <c r="V30" s="9">
        <f t="shared" si="6"/>
        <v>14441.2</v>
      </c>
      <c r="W30" s="10">
        <f t="shared" si="7"/>
        <v>207049.83999999997</v>
      </c>
    </row>
    <row r="31" spans="1:23" ht="18" customHeight="1" x14ac:dyDescent="0.3">
      <c r="A31" s="11" t="s">
        <v>116</v>
      </c>
      <c r="B31" s="12">
        <v>77666.02</v>
      </c>
      <c r="C31" s="13">
        <v>26462.45</v>
      </c>
      <c r="D31" s="14">
        <f t="shared" si="0"/>
        <v>104128.47</v>
      </c>
      <c r="E31" s="12">
        <v>7814.39</v>
      </c>
      <c r="F31" s="13">
        <v>3294.49</v>
      </c>
      <c r="G31" s="14">
        <f t="shared" si="1"/>
        <v>11108.880000000001</v>
      </c>
      <c r="H31" s="12">
        <v>11340.86</v>
      </c>
      <c r="I31" s="13">
        <v>6369.08</v>
      </c>
      <c r="J31" s="14">
        <f t="shared" si="2"/>
        <v>17709.940000000002</v>
      </c>
      <c r="K31" s="12">
        <v>12036.24</v>
      </c>
      <c r="L31" s="13">
        <v>7750.68</v>
      </c>
      <c r="M31" s="14">
        <f t="shared" si="3"/>
        <v>19786.919999999998</v>
      </c>
      <c r="N31" s="12">
        <v>14842.13</v>
      </c>
      <c r="O31" s="13">
        <v>8788.68</v>
      </c>
      <c r="P31" s="14">
        <f t="shared" si="4"/>
        <v>23630.809999999998</v>
      </c>
      <c r="Q31" s="12">
        <v>5546.41</v>
      </c>
      <c r="R31" s="13">
        <v>2732.42</v>
      </c>
      <c r="S31" s="14">
        <f t="shared" si="5"/>
        <v>8278.83</v>
      </c>
      <c r="T31" s="12">
        <v>10072.66</v>
      </c>
      <c r="U31" s="13">
        <v>4403.96</v>
      </c>
      <c r="V31" s="14">
        <f t="shared" si="6"/>
        <v>14476.619999999999</v>
      </c>
      <c r="W31" s="15">
        <f t="shared" si="7"/>
        <v>199120.47</v>
      </c>
    </row>
    <row r="32" spans="1:23" ht="21.75" customHeight="1" x14ac:dyDescent="0.3">
      <c r="A32" s="16" t="s">
        <v>53</v>
      </c>
      <c r="B32" s="17">
        <f t="shared" ref="B32:W32" si="8">SUM(B2:B31)</f>
        <v>1994820.1099999999</v>
      </c>
      <c r="C32" s="18">
        <f t="shared" si="8"/>
        <v>844347.2799999998</v>
      </c>
      <c r="D32" s="19">
        <f t="shared" si="8"/>
        <v>2839167.39</v>
      </c>
      <c r="E32" s="17">
        <f t="shared" si="8"/>
        <v>239241.14</v>
      </c>
      <c r="F32" s="18">
        <f t="shared" si="8"/>
        <v>88949.51999999999</v>
      </c>
      <c r="G32" s="19">
        <f t="shared" si="8"/>
        <v>328190.66000000003</v>
      </c>
      <c r="H32" s="17">
        <f t="shared" si="8"/>
        <v>305450.40999999992</v>
      </c>
      <c r="I32" s="18">
        <f t="shared" si="8"/>
        <v>170674.57</v>
      </c>
      <c r="J32" s="19">
        <f t="shared" si="8"/>
        <v>476124.98</v>
      </c>
      <c r="K32" s="17">
        <f t="shared" si="8"/>
        <v>375399.80000000005</v>
      </c>
      <c r="L32" s="18">
        <f t="shared" si="8"/>
        <v>200118.93999999997</v>
      </c>
      <c r="M32" s="19">
        <f t="shared" si="8"/>
        <v>575518.74000000022</v>
      </c>
      <c r="N32" s="17">
        <f t="shared" si="8"/>
        <v>542623.38</v>
      </c>
      <c r="O32" s="18">
        <f t="shared" si="8"/>
        <v>260854.41</v>
      </c>
      <c r="P32" s="19">
        <f t="shared" si="8"/>
        <v>803477.79</v>
      </c>
      <c r="Q32" s="17">
        <f t="shared" si="8"/>
        <v>159074.96</v>
      </c>
      <c r="R32" s="18">
        <f t="shared" si="8"/>
        <v>86986.23000000001</v>
      </c>
      <c r="S32" s="19">
        <f t="shared" si="8"/>
        <v>246061.18999999997</v>
      </c>
      <c r="T32" s="17">
        <f t="shared" si="8"/>
        <v>251073.63999999998</v>
      </c>
      <c r="U32" s="18">
        <f t="shared" si="8"/>
        <v>127784.14999999998</v>
      </c>
      <c r="V32" s="19">
        <f t="shared" si="8"/>
        <v>378857.79</v>
      </c>
      <c r="W32" s="20">
        <f t="shared" si="8"/>
        <v>5647398.5399999991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5" sqref="A5"/>
      <selection pane="bottomRight" sqref="A1:XFD1"/>
    </sheetView>
  </sheetViews>
  <sheetFormatPr defaultColWidth="8.6640625" defaultRowHeight="14.4" x14ac:dyDescent="0.3"/>
  <cols>
    <col min="1" max="1" width="16" customWidth="1"/>
    <col min="2" max="3" width="20" customWidth="1"/>
    <col min="4" max="4" width="22" customWidth="1"/>
  </cols>
  <sheetData>
    <row r="1" spans="1:4" ht="21.75" customHeight="1" x14ac:dyDescent="0.3">
      <c r="A1" s="1" t="s">
        <v>0</v>
      </c>
      <c r="B1" s="2" t="s">
        <v>54</v>
      </c>
      <c r="C1" s="3" t="s">
        <v>55</v>
      </c>
      <c r="D1" s="5" t="s">
        <v>22</v>
      </c>
    </row>
    <row r="2" spans="1:4" ht="18" customHeight="1" x14ac:dyDescent="0.3">
      <c r="A2" s="6" t="s">
        <v>87</v>
      </c>
      <c r="B2" s="7">
        <v>46543.05</v>
      </c>
      <c r="C2" s="8">
        <v>17070.509999999998</v>
      </c>
      <c r="D2" s="10">
        <f t="shared" ref="D2:D31" si="0">B2+C2</f>
        <v>63613.56</v>
      </c>
    </row>
    <row r="3" spans="1:4" ht="18" customHeight="1" x14ac:dyDescent="0.3">
      <c r="A3" s="11" t="s">
        <v>88</v>
      </c>
      <c r="B3" s="12">
        <v>41325.71</v>
      </c>
      <c r="C3" s="13">
        <v>19118.36</v>
      </c>
      <c r="D3" s="15">
        <f t="shared" si="0"/>
        <v>60444.07</v>
      </c>
    </row>
    <row r="4" spans="1:4" ht="18" customHeight="1" x14ac:dyDescent="0.3">
      <c r="A4" s="6" t="s">
        <v>89</v>
      </c>
      <c r="B4" s="7">
        <v>44295.4</v>
      </c>
      <c r="C4" s="8">
        <v>18580.75</v>
      </c>
      <c r="D4" s="10">
        <f t="shared" si="0"/>
        <v>62876.15</v>
      </c>
    </row>
    <row r="5" spans="1:4" ht="18" customHeight="1" x14ac:dyDescent="0.3">
      <c r="A5" s="11" t="s">
        <v>90</v>
      </c>
      <c r="B5" s="12">
        <v>40770.269999999997</v>
      </c>
      <c r="C5" s="13">
        <v>18949.86</v>
      </c>
      <c r="D5" s="15">
        <f t="shared" si="0"/>
        <v>59720.13</v>
      </c>
    </row>
    <row r="6" spans="1:4" ht="18" customHeight="1" x14ac:dyDescent="0.3">
      <c r="A6" s="6" t="s">
        <v>91</v>
      </c>
      <c r="B6" s="7">
        <v>38734.959999999999</v>
      </c>
      <c r="C6" s="8">
        <v>17466.150000000001</v>
      </c>
      <c r="D6" s="10">
        <f t="shared" si="0"/>
        <v>56201.11</v>
      </c>
    </row>
    <row r="7" spans="1:4" ht="18" customHeight="1" x14ac:dyDescent="0.3">
      <c r="A7" s="11" t="s">
        <v>92</v>
      </c>
      <c r="B7" s="12">
        <v>43853.39</v>
      </c>
      <c r="C7" s="13">
        <v>17256.060000000001</v>
      </c>
      <c r="D7" s="15">
        <f t="shared" si="0"/>
        <v>61109.45</v>
      </c>
    </row>
    <row r="8" spans="1:4" ht="18" customHeight="1" x14ac:dyDescent="0.3">
      <c r="A8" s="6" t="s">
        <v>93</v>
      </c>
      <c r="B8" s="7">
        <v>42048.75</v>
      </c>
      <c r="C8" s="8">
        <v>16698.830000000002</v>
      </c>
      <c r="D8" s="10">
        <f t="shared" si="0"/>
        <v>58747.58</v>
      </c>
    </row>
    <row r="9" spans="1:4" ht="18" customHeight="1" x14ac:dyDescent="0.3">
      <c r="A9" s="11" t="s">
        <v>94</v>
      </c>
      <c r="B9" s="12">
        <v>47208.53</v>
      </c>
      <c r="C9" s="13">
        <v>14861.07</v>
      </c>
      <c r="D9" s="15">
        <f t="shared" si="0"/>
        <v>62069.599999999999</v>
      </c>
    </row>
    <row r="10" spans="1:4" ht="18" customHeight="1" x14ac:dyDescent="0.3">
      <c r="A10" s="6" t="s">
        <v>95</v>
      </c>
      <c r="B10" s="7">
        <v>42472.33</v>
      </c>
      <c r="C10" s="8">
        <v>17781.95</v>
      </c>
      <c r="D10" s="10">
        <f t="shared" si="0"/>
        <v>60254.28</v>
      </c>
    </row>
    <row r="11" spans="1:4" ht="18" customHeight="1" x14ac:dyDescent="0.3">
      <c r="A11" s="11" t="s">
        <v>96</v>
      </c>
      <c r="B11" s="12">
        <v>43342.07</v>
      </c>
      <c r="C11" s="13">
        <v>20755.54</v>
      </c>
      <c r="D11" s="15">
        <f t="shared" si="0"/>
        <v>64097.61</v>
      </c>
    </row>
    <row r="12" spans="1:4" ht="18" customHeight="1" x14ac:dyDescent="0.3">
      <c r="A12" s="6" t="s">
        <v>97</v>
      </c>
      <c r="B12" s="7">
        <v>37344.730000000003</v>
      </c>
      <c r="C12" s="8">
        <v>18002.400000000001</v>
      </c>
      <c r="D12" s="10">
        <f t="shared" si="0"/>
        <v>55347.130000000005</v>
      </c>
    </row>
    <row r="13" spans="1:4" ht="18" customHeight="1" x14ac:dyDescent="0.3">
      <c r="A13" s="11" t="s">
        <v>98</v>
      </c>
      <c r="B13" s="12">
        <v>35949.75</v>
      </c>
      <c r="C13" s="13">
        <v>16589.32</v>
      </c>
      <c r="D13" s="15">
        <f t="shared" si="0"/>
        <v>52539.07</v>
      </c>
    </row>
    <row r="14" spans="1:4" ht="18" customHeight="1" x14ac:dyDescent="0.3">
      <c r="A14" s="6" t="s">
        <v>99</v>
      </c>
      <c r="B14" s="7">
        <v>43012.59</v>
      </c>
      <c r="C14" s="8">
        <v>0</v>
      </c>
      <c r="D14" s="10">
        <f t="shared" si="0"/>
        <v>43012.59</v>
      </c>
    </row>
    <row r="15" spans="1:4" ht="18" customHeight="1" x14ac:dyDescent="0.3">
      <c r="A15" s="11" t="s">
        <v>100</v>
      </c>
      <c r="B15" s="12">
        <v>49272.57</v>
      </c>
      <c r="C15" s="13">
        <v>19251.439999999999</v>
      </c>
      <c r="D15" s="15">
        <f t="shared" si="0"/>
        <v>68524.009999999995</v>
      </c>
    </row>
    <row r="16" spans="1:4" ht="18" customHeight="1" x14ac:dyDescent="0.3">
      <c r="A16" s="6" t="s">
        <v>101</v>
      </c>
      <c r="B16" s="7">
        <v>0</v>
      </c>
      <c r="C16" s="8">
        <v>15672.36</v>
      </c>
      <c r="D16" s="10">
        <f t="shared" si="0"/>
        <v>15672.36</v>
      </c>
    </row>
    <row r="17" spans="1:4" ht="18" customHeight="1" x14ac:dyDescent="0.3">
      <c r="A17" s="11" t="s">
        <v>102</v>
      </c>
      <c r="B17" s="12">
        <v>45750.74</v>
      </c>
      <c r="C17" s="13">
        <v>20482.13</v>
      </c>
      <c r="D17" s="15">
        <f t="shared" si="0"/>
        <v>66232.87</v>
      </c>
    </row>
    <row r="18" spans="1:4" ht="18" customHeight="1" x14ac:dyDescent="0.3">
      <c r="A18" s="6" t="s">
        <v>103</v>
      </c>
      <c r="B18" s="7">
        <v>49151.08</v>
      </c>
      <c r="C18" s="8">
        <v>15480.39</v>
      </c>
      <c r="D18" s="10">
        <f t="shared" si="0"/>
        <v>64631.47</v>
      </c>
    </row>
    <row r="19" spans="1:4" ht="18" customHeight="1" x14ac:dyDescent="0.3">
      <c r="A19" s="11" t="s">
        <v>104</v>
      </c>
      <c r="B19" s="12">
        <v>0</v>
      </c>
      <c r="C19" s="13">
        <v>15528.27</v>
      </c>
      <c r="D19" s="15">
        <f t="shared" si="0"/>
        <v>15528.27</v>
      </c>
    </row>
    <row r="20" spans="1:4" ht="18" customHeight="1" x14ac:dyDescent="0.3">
      <c r="A20" s="6" t="s">
        <v>105</v>
      </c>
      <c r="B20" s="7">
        <v>36301.74</v>
      </c>
      <c r="C20" s="8">
        <v>20289.97</v>
      </c>
      <c r="D20" s="10">
        <f t="shared" si="0"/>
        <v>56591.71</v>
      </c>
    </row>
    <row r="21" spans="1:4" ht="18" customHeight="1" x14ac:dyDescent="0.3">
      <c r="A21" s="11" t="s">
        <v>106</v>
      </c>
      <c r="B21" s="12">
        <v>38715.08</v>
      </c>
      <c r="C21" s="13">
        <v>15350.97</v>
      </c>
      <c r="D21" s="15">
        <f t="shared" si="0"/>
        <v>54066.05</v>
      </c>
    </row>
    <row r="22" spans="1:4" ht="18" customHeight="1" x14ac:dyDescent="0.3">
      <c r="A22" s="6" t="s">
        <v>107</v>
      </c>
      <c r="B22" s="7">
        <v>35426.39</v>
      </c>
      <c r="C22" s="8">
        <v>21194.19</v>
      </c>
      <c r="D22" s="10">
        <f t="shared" si="0"/>
        <v>56620.58</v>
      </c>
    </row>
    <row r="23" spans="1:4" ht="18" customHeight="1" x14ac:dyDescent="0.3">
      <c r="A23" s="11" t="s">
        <v>108</v>
      </c>
      <c r="B23" s="12">
        <v>46999.54</v>
      </c>
      <c r="C23" s="13">
        <v>15764.6</v>
      </c>
      <c r="D23" s="15">
        <f t="shared" si="0"/>
        <v>62764.14</v>
      </c>
    </row>
    <row r="24" spans="1:4" ht="18" customHeight="1" x14ac:dyDescent="0.3">
      <c r="A24" s="6" t="s">
        <v>109</v>
      </c>
      <c r="B24" s="7">
        <v>42512.41</v>
      </c>
      <c r="C24" s="8">
        <v>20277.12</v>
      </c>
      <c r="D24" s="10">
        <f t="shared" si="0"/>
        <v>62789.53</v>
      </c>
    </row>
    <row r="25" spans="1:4" ht="18" customHeight="1" x14ac:dyDescent="0.3">
      <c r="A25" s="11" t="s">
        <v>110</v>
      </c>
      <c r="B25" s="12">
        <v>46489.78</v>
      </c>
      <c r="C25" s="13">
        <v>18143.11</v>
      </c>
      <c r="D25" s="15">
        <f t="shared" si="0"/>
        <v>64632.89</v>
      </c>
    </row>
    <row r="26" spans="1:4" ht="18" customHeight="1" x14ac:dyDescent="0.3">
      <c r="A26" s="6" t="s">
        <v>111</v>
      </c>
      <c r="B26" s="7">
        <v>39444.720000000001</v>
      </c>
      <c r="C26" s="8">
        <v>17269.53</v>
      </c>
      <c r="D26" s="10">
        <f t="shared" si="0"/>
        <v>56714.25</v>
      </c>
    </row>
    <row r="27" spans="1:4" ht="18" customHeight="1" x14ac:dyDescent="0.3">
      <c r="A27" s="11" t="s">
        <v>112</v>
      </c>
      <c r="B27" s="12">
        <v>39532.449999999997</v>
      </c>
      <c r="C27" s="13">
        <v>0</v>
      </c>
      <c r="D27" s="15">
        <f t="shared" si="0"/>
        <v>39532.449999999997</v>
      </c>
    </row>
    <row r="28" spans="1:4" ht="18" customHeight="1" x14ac:dyDescent="0.3">
      <c r="A28" s="6" t="s">
        <v>113</v>
      </c>
      <c r="B28" s="7">
        <v>48338.47</v>
      </c>
      <c r="C28" s="8">
        <v>16499.939999999999</v>
      </c>
      <c r="D28" s="10">
        <f t="shared" si="0"/>
        <v>64838.41</v>
      </c>
    </row>
    <row r="29" spans="1:4" ht="18" customHeight="1" x14ac:dyDescent="0.3">
      <c r="A29" s="11" t="s">
        <v>114</v>
      </c>
      <c r="B29" s="12">
        <v>42480.17</v>
      </c>
      <c r="C29" s="13">
        <v>18282.72</v>
      </c>
      <c r="D29" s="15">
        <f t="shared" si="0"/>
        <v>60762.89</v>
      </c>
    </row>
    <row r="30" spans="1:4" ht="18" customHeight="1" x14ac:dyDescent="0.3">
      <c r="A30" s="6" t="s">
        <v>115</v>
      </c>
      <c r="B30" s="7">
        <v>36089.980000000003</v>
      </c>
      <c r="C30" s="8">
        <v>16966.53</v>
      </c>
      <c r="D30" s="10">
        <f t="shared" si="0"/>
        <v>53056.51</v>
      </c>
    </row>
    <row r="31" spans="1:4" ht="18" customHeight="1" x14ac:dyDescent="0.3">
      <c r="A31" s="11" t="s">
        <v>116</v>
      </c>
      <c r="B31" s="12">
        <v>35177.300000000003</v>
      </c>
      <c r="C31" s="13">
        <v>18511.330000000002</v>
      </c>
      <c r="D31" s="15">
        <f t="shared" si="0"/>
        <v>53688.630000000005</v>
      </c>
    </row>
    <row r="32" spans="1:4" ht="21.75" customHeight="1" x14ac:dyDescent="0.3">
      <c r="A32" s="16" t="s">
        <v>53</v>
      </c>
      <c r="B32" s="17">
        <f>SUM(B2:B31)</f>
        <v>1178583.9499999997</v>
      </c>
      <c r="C32" s="18">
        <f>SUM(C2:C31)</f>
        <v>498095.40000000008</v>
      </c>
      <c r="D32" s="20">
        <f>SUM(D2:D31)</f>
        <v>1676679.3499999996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April'26 Leads-Cost</vt:lpstr>
      <vt:lpstr>PI April Lead-Cost</vt:lpstr>
      <vt:lpstr>May'26 Leads-Cost</vt:lpstr>
      <vt:lpstr>PI May Lead-Cost</vt:lpstr>
      <vt:lpstr>June'26 Leads-Cost</vt:lpstr>
      <vt:lpstr>PI June Lead-Cost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rosalintcelcia87@outlook.com</cp:lastModifiedBy>
  <cp:revision>0</cp:revision>
  <dcterms:created xsi:type="dcterms:W3CDTF">2026-06-29T07:56:16Z</dcterms:created>
  <dcterms:modified xsi:type="dcterms:W3CDTF">2026-09-05T11:10:08Z</dcterms:modified>
  <dc:language>en-US</dc:language>
</cp:coreProperties>
</file>