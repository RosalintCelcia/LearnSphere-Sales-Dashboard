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_Power BI Poject\"/>
    </mc:Choice>
  </mc:AlternateContent>
  <xr:revisionPtr revIDLastSave="0" documentId="13_ncr:1_{B557603A-ECF7-4B52-841F-5762C49F59E7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Realized Revenue" sheetId="1" r:id="rId1"/>
    <sheet name="Monthly Revenue" sheetId="2" r:id="rId2"/>
    <sheet name="AOV Cleaned" sheetId="3" r:id="rId3"/>
    <sheet name="YT + ADS Overall Data" sheetId="4" r:id="rId4"/>
    <sheet name="Cleaned CAC" sheetId="5" r:id="rId5"/>
    <sheet name="Course Overal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9" i="4" l="1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</calcChain>
</file>

<file path=xl/sharedStrings.xml><?xml version="1.0" encoding="utf-8"?>
<sst xmlns="http://schemas.openxmlformats.org/spreadsheetml/2006/main" count="640" uniqueCount="82">
  <si>
    <t>Month</t>
  </si>
  <si>
    <t>Actual (In Lakh)</t>
  </si>
  <si>
    <t>YoY Growth (%)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</si>
  <si>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</si>
  <si>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</si>
  <si>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</si>
  <si>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</si>
  <si>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</si>
  <si>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</si>
  <si>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</si>
  <si>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</si>
  <si>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</si>
  <si>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</si>
  <si>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</si>
  <si>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</si>
  <si>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</si>
  <si>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</si>
  <si>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</si>
  <si>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</si>
  <si>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</si>
  <si>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</si>
  <si>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</si>
  <si>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</si>
  <si>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</si>
  <si>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</si>
  <si>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</si>
  <si>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</si>
  <si>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</si>
  <si>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</si>
  <si>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</si>
  <si>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</si>
  <si>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</si>
  <si>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</si>
  <si>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</si>
  <si>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</si>
  <si>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</si>
  <si>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</si>
  <si>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</si>
  <si>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</si>
  <si>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</si>
  <si>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</si>
  <si>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</si>
  <si>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Youtube Revenue</t>
  </si>
  <si>
    <t>ADS Revenue</t>
  </si>
  <si>
    <t>AOV</t>
  </si>
  <si>
    <t>Units Sold</t>
  </si>
  <si>
    <t>Leads</t>
  </si>
  <si>
    <t>Source</t>
  </si>
  <si>
    <t>Videos</t>
  </si>
  <si>
    <t>Units</t>
  </si>
  <si>
    <t>ARPU</t>
  </si>
  <si>
    <t>Conversion %</t>
  </si>
  <si>
    <t>YT</t>
  </si>
  <si>
    <t>ADS</t>
  </si>
  <si>
    <t>Booked Revenue</t>
  </si>
  <si>
    <t>Realised Revenue</t>
  </si>
  <si>
    <t>Marketing Cost</t>
  </si>
  <si>
    <t>Number of Leads</t>
  </si>
  <si>
    <t>Total Marketing Spent</t>
  </si>
  <si>
    <t>Marketing CAC Per Learner (Rs)</t>
  </si>
  <si>
    <t>Marketing %</t>
  </si>
  <si>
    <t>Unit Sold</t>
  </si>
  <si>
    <t>Sales Payroll</t>
  </si>
  <si>
    <t>Sales Incentives</t>
  </si>
  <si>
    <t>Sales Cost</t>
  </si>
  <si>
    <t>Sales CAC per Learner</t>
  </si>
  <si>
    <t>Sales CAC%</t>
  </si>
  <si>
    <t>Total Acquisition Cost (SALES+MARKETING)</t>
  </si>
  <si>
    <t>Total Acquisition Rs.</t>
  </si>
  <si>
    <t>Total Acquisition %</t>
  </si>
  <si>
    <t>PD</t>
  </si>
  <si>
    <t>PD + ADS</t>
  </si>
  <si>
    <t>Program</t>
  </si>
  <si>
    <t>Overall CAC</t>
  </si>
  <si>
    <t>Marketing Spent</t>
  </si>
  <si>
    <t>DA</t>
  </si>
  <si>
    <t>DM</t>
  </si>
  <si>
    <t>Gen AI</t>
  </si>
  <si>
    <t>DS</t>
  </si>
  <si>
    <t>CS</t>
  </si>
  <si>
    <t>AI/ML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</si>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</sst>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D1FAE5"/>
      <name val="Arial"/>
      <family val="2"/>
    </font>
    <font>
      <sz val="10"/>
      <color rgb="FFFFFFFF"/>
      <name val="Arial"/>
      <family val="2"/>
    </font>
    <font>
      <sz val="10"/>
      <color rgb="FF9CA3AF"/>
      <name val="Arial"/>
      <family val="2"/>
    </font>
    <font>
      <sz val="10"/>
      <color rgb="FF6EE7B7"/>
      <name val="Arial"/>
      <family val="2"/>
    </font>
    <font>
      <sz val="10"/>
      <color rgb="FFFDE68A"/>
      <name val="Arial"/>
      <family val="2"/>
    </font>
    <font>
      <sz val="10"/>
      <color rgb="FFBAE6FD"/>
      <name val="Arial"/>
      <family val="2"/>
    </font>
    <font>
      <b/>
      <sz val="10"/>
      <color rgb="FF1F2937"/>
      <name val="Arial"/>
      <family val="2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374151"/>
        <bgColor rgb="FF4B5563"/>
      </patternFill>
    </fill>
    <fill>
      <patternFill patternType="solid">
        <fgColor rgb="FF111827"/>
        <bgColor rgb="FF1F2937"/>
      </patternFill>
    </fill>
    <fill>
      <patternFill patternType="solid">
        <fgColor rgb="FFC4B5FD"/>
        <bgColor rgb="FFCC99FF"/>
      </patternFill>
    </fill>
    <fill>
      <patternFill patternType="solid">
        <fgColor rgb="FFBAE6FD"/>
        <bgColor rgb="FFD1FAE5"/>
      </patternFill>
    </fill>
    <fill>
      <patternFill patternType="solid">
        <fgColor rgb="FFFDE68A"/>
        <bgColor rgb="FFFFCC99"/>
      </patternFill>
    </fill>
    <fill>
      <patternFill patternType="solid">
        <fgColor rgb="FF6EE7B7"/>
        <bgColor rgb="FF34D399"/>
      </patternFill>
    </fill>
    <fill>
      <patternFill patternType="solid">
        <fgColor rgb="FFFCA5A5"/>
        <bgColor rgb="FFFFCC99"/>
      </patternFill>
    </fill>
    <fill>
      <patternFill patternType="solid">
        <fgColor rgb="FFFB923C"/>
        <bgColor rgb="FFFF8080"/>
      </patternFill>
    </fill>
    <fill>
      <patternFill patternType="solid">
        <fgColor rgb="FF34D399"/>
        <bgColor rgb="FF6EE7B7"/>
      </patternFill>
    </fill>
  </fills>
  <borders count="2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2"/>
    </xf>
    <xf numFmtId="4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2"/>
    </xf>
    <xf numFmtId="4" fontId="3" fillId="2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9" fontId="1" fillId="3" borderId="1" xfId="1" applyFont="1" applyFill="1" applyBorder="1" applyAlignment="1">
      <alignment horizontal="center" vertical="center"/>
    </xf>
    <xf numFmtId="9" fontId="3" fillId="4" borderId="1" xfId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AE6FD"/>
      <rgbColor rgb="FF660066"/>
      <rgbColor rgb="FFFF8080"/>
      <rgbColor rgb="FF0066CC"/>
      <rgbColor rgb="FFC4B5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DE68A"/>
      <rgbColor rgb="FF6EE7B7"/>
      <rgbColor rgb="FFFCA5A5"/>
      <rgbColor rgb="FFCC99FF"/>
      <rgbColor rgb="FFFFCC99"/>
      <rgbColor rgb="FF3366FF"/>
      <rgbColor rgb="FF34D399"/>
      <rgbColor rgb="FF99CC00"/>
      <rgbColor rgb="FFFFCC00"/>
      <rgbColor rgb="FFFB923C"/>
      <rgbColor rgb="FFFF6600"/>
      <rgbColor rgb="FF4B5563"/>
      <rgbColor rgb="FF9CA3AF"/>
      <rgbColor rgb="FF003366"/>
      <rgbColor rgb="FF339966"/>
      <rgbColor rgb="FF111827"/>
      <rgbColor rgb="FF333300"/>
      <rgbColor rgb="FF9933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showGridLines="0" zoomScaleNormal="100" workbookViewId="0">
      <pane ySplit="1" topLeftCell="A2" activePane="bottomLeft" state="frozen"/>
      <selection pane="bottomLeft" activeCell="D11" sqref="D11"/>
    </sheetView>
  </sheetViews>
  <sheetFormatPr defaultColWidth="8.6640625" defaultRowHeight="14.4" x14ac:dyDescent="0.3"/>
  <cols>
    <col min="1" max="1" width="18" customWidth="1"/>
    <col min="2" max="3" width="22" customWidth="1"/>
  </cols>
  <sheetData>
    <row r="1" spans="1:3" ht="19.5" customHeight="1" x14ac:dyDescent="0.3">
      <c r="A1" s="1" t="s">
        <v>0</v>
      </c>
      <c r="B1" s="1" t="s">
        <v>1</v>
      </c>
      <c r="C1" s="1" t="s">
        <v>2</v>
      </c>
    </row>
    <row r="2" spans="1:3" ht="18.75" customHeight="1" x14ac:dyDescent="0.3">
      <c r="A2" s="2" t="s">
        <v>3</v>
      </c>
      <c r="B2" s="3">
        <v>18.399999999999999</v>
      </c>
      <c r="C2" s="4">
        <v>0</v>
      </c>
    </row>
    <row r="3" spans="1:3" ht="18.75" customHeight="1" x14ac:dyDescent="0.3">
      <c r="A3" s="5" t="s">
        <v>4</v>
      </c>
      <c r="B3" s="6">
        <v>21.75</v>
      </c>
      <c r="C3" s="4">
        <v>0</v>
      </c>
    </row>
    <row r="4" spans="1:3" ht="18.75" customHeight="1" x14ac:dyDescent="0.3">
      <c r="A4" s="2" t="s">
        <v>5</v>
      </c>
      <c r="B4" s="3">
        <v>26.1</v>
      </c>
      <c r="C4" s="4">
        <v>0</v>
      </c>
    </row>
    <row r="5" spans="1:3" ht="18.75" customHeight="1" x14ac:dyDescent="0.3">
      <c r="A5" s="5" t="s">
        <v>6</v>
      </c>
      <c r="B5" s="6">
        <v>30.2</v>
      </c>
      <c r="C5" s="4">
        <v>0</v>
      </c>
    </row>
    <row r="6" spans="1:3" ht="18.75" customHeight="1" x14ac:dyDescent="0.3">
      <c r="A6" s="2" t="s">
        <v>7</v>
      </c>
      <c r="B6" s="3">
        <v>34.5</v>
      </c>
      <c r="C6" s="4">
        <v>0</v>
      </c>
    </row>
    <row r="7" spans="1:3" ht="18.75" customHeight="1" x14ac:dyDescent="0.3">
      <c r="A7" s="5" t="s">
        <v>8</v>
      </c>
      <c r="B7" s="6">
        <v>40.799999999999997</v>
      </c>
      <c r="C7" s="4">
        <v>0</v>
      </c>
    </row>
    <row r="8" spans="1:3" ht="18.75" customHeight="1" x14ac:dyDescent="0.3">
      <c r="A8" s="2" t="s">
        <v>9</v>
      </c>
      <c r="B8" s="3">
        <v>37.6</v>
      </c>
      <c r="C8" s="4">
        <v>0</v>
      </c>
    </row>
    <row r="9" spans="1:3" ht="18.75" customHeight="1" x14ac:dyDescent="0.3">
      <c r="A9" s="5" t="s">
        <v>10</v>
      </c>
      <c r="B9" s="6">
        <v>33.9</v>
      </c>
      <c r="C9" s="4">
        <v>0</v>
      </c>
    </row>
    <row r="10" spans="1:3" ht="18.75" customHeight="1" x14ac:dyDescent="0.3">
      <c r="A10" s="2" t="s">
        <v>11</v>
      </c>
      <c r="B10" s="3">
        <v>29.45</v>
      </c>
      <c r="C10" s="4">
        <v>0</v>
      </c>
    </row>
    <row r="11" spans="1:3" ht="18.75" customHeight="1" x14ac:dyDescent="0.3">
      <c r="A11" s="5" t="s">
        <v>12</v>
      </c>
      <c r="B11" s="6">
        <v>44.2</v>
      </c>
      <c r="C11" s="4">
        <v>0</v>
      </c>
    </row>
    <row r="12" spans="1:3" ht="18.75" customHeight="1" x14ac:dyDescent="0.3">
      <c r="A12" s="2" t="s">
        <v>13</v>
      </c>
      <c r="B12" s="3">
        <v>52.6</v>
      </c>
      <c r="C12" s="4">
        <v>0</v>
      </c>
    </row>
    <row r="13" spans="1:3" ht="18.75" customHeight="1" x14ac:dyDescent="0.3">
      <c r="A13" s="5" t="s">
        <v>14</v>
      </c>
      <c r="B13" s="6">
        <v>68.3</v>
      </c>
      <c r="C13" s="4">
        <v>0</v>
      </c>
    </row>
    <row r="14" spans="1:3" ht="18.75" customHeight="1" x14ac:dyDescent="0.3">
      <c r="A14" s="2" t="s">
        <v>15</v>
      </c>
      <c r="B14" s="3">
        <v>22.8</v>
      </c>
      <c r="C14" s="7">
        <f>(B14-18.4)/18.4</f>
        <v>0.23913043478260884</v>
      </c>
    </row>
    <row r="15" spans="1:3" ht="18.75" customHeight="1" x14ac:dyDescent="0.3">
      <c r="A15" s="5" t="s">
        <v>16</v>
      </c>
      <c r="B15" s="6">
        <v>27.4</v>
      </c>
      <c r="C15" s="8">
        <f>(B15-21.75)/21.75</f>
        <v>0.25977011494252866</v>
      </c>
    </row>
    <row r="16" spans="1:3" ht="18.75" customHeight="1" x14ac:dyDescent="0.3">
      <c r="A16" s="2" t="s">
        <v>17</v>
      </c>
      <c r="B16" s="3">
        <v>33.6</v>
      </c>
      <c r="C16" s="7">
        <f>(B16-26.1)/26.1</f>
        <v>0.28735632183908044</v>
      </c>
    </row>
    <row r="17" spans="1:3" ht="18.75" customHeight="1" x14ac:dyDescent="0.3">
      <c r="A17" s="5" t="s">
        <v>18</v>
      </c>
      <c r="B17" s="6">
        <v>38.9</v>
      </c>
      <c r="C17" s="8">
        <f>(B17-30.2)/30.2</f>
        <v>0.28807947019867547</v>
      </c>
    </row>
    <row r="18" spans="1:3" ht="18.75" customHeight="1" x14ac:dyDescent="0.3">
      <c r="A18" s="2" t="s">
        <v>19</v>
      </c>
      <c r="B18" s="3">
        <v>45.2</v>
      </c>
      <c r="C18" s="7">
        <f>(B18-34.5)/34.5</f>
        <v>0.31014492753623196</v>
      </c>
    </row>
    <row r="19" spans="1:3" ht="18.75" customHeight="1" x14ac:dyDescent="0.3">
      <c r="A19" s="5" t="s">
        <v>20</v>
      </c>
      <c r="B19" s="6">
        <v>53.7</v>
      </c>
      <c r="C19" s="8">
        <f>(B19-40.8)/40.8</f>
        <v>0.31617647058823545</v>
      </c>
    </row>
    <row r="20" spans="1:3" ht="18.75" customHeight="1" x14ac:dyDescent="0.3">
      <c r="A20" s="2" t="s">
        <v>21</v>
      </c>
      <c r="B20" s="3">
        <v>47.3</v>
      </c>
      <c r="C20" s="7">
        <f>(B20-37.6)/37.6</f>
        <v>0.25797872340425521</v>
      </c>
    </row>
    <row r="21" spans="1:3" ht="18.75" customHeight="1" x14ac:dyDescent="0.3">
      <c r="A21" s="5" t="s">
        <v>22</v>
      </c>
      <c r="B21" s="6">
        <v>41.8</v>
      </c>
      <c r="C21" s="8">
        <f>(B21-33.9)/33.9</f>
        <v>0.23303834808259583</v>
      </c>
    </row>
    <row r="22" spans="1:3" ht="18.75" customHeight="1" x14ac:dyDescent="0.3">
      <c r="A22" s="2" t="s">
        <v>23</v>
      </c>
      <c r="B22" s="3">
        <v>36.5</v>
      </c>
      <c r="C22" s="7">
        <f>(B22-29.45)/29.45</f>
        <v>0.23938879456706286</v>
      </c>
    </row>
    <row r="23" spans="1:3" ht="18.75" customHeight="1" x14ac:dyDescent="0.3">
      <c r="A23" s="5" t="s">
        <v>24</v>
      </c>
      <c r="B23" s="6">
        <v>57.4</v>
      </c>
      <c r="C23" s="8">
        <f>(B23-44.2)/44.2</f>
        <v>0.29864253393665147</v>
      </c>
    </row>
    <row r="24" spans="1:3" ht="18.75" customHeight="1" x14ac:dyDescent="0.3">
      <c r="A24" s="2" t="s">
        <v>25</v>
      </c>
      <c r="B24" s="3">
        <v>66.099999999999994</v>
      </c>
      <c r="C24" s="7">
        <f>(B24-52.6)/52.6</f>
        <v>0.25665399239543712</v>
      </c>
    </row>
    <row r="25" spans="1:3" ht="18.75" customHeight="1" x14ac:dyDescent="0.3">
      <c r="A25" s="5" t="s">
        <v>26</v>
      </c>
      <c r="B25" s="6">
        <v>84.2</v>
      </c>
      <c r="C25" s="8">
        <f>(B25-68.3)/68.3</f>
        <v>0.23279648609077608</v>
      </c>
    </row>
    <row r="26" spans="1:3" ht="18.75" customHeight="1" x14ac:dyDescent="0.3">
      <c r="A26" s="2" t="s">
        <v>27</v>
      </c>
      <c r="B26" s="3">
        <v>28.9</v>
      </c>
      <c r="C26" s="7">
        <f>(B26-22.8)/22.8</f>
        <v>0.2675438596491227</v>
      </c>
    </row>
    <row r="27" spans="1:3" ht="18.75" customHeight="1" x14ac:dyDescent="0.3">
      <c r="A27" s="5" t="s">
        <v>28</v>
      </c>
      <c r="B27" s="6">
        <v>34.6</v>
      </c>
      <c r="C27" s="8">
        <f>(B27-27.4)/27.4</f>
        <v>0.26277372262773735</v>
      </c>
    </row>
    <row r="28" spans="1:3" ht="18.75" customHeight="1" x14ac:dyDescent="0.3">
      <c r="A28" s="2" t="s">
        <v>29</v>
      </c>
      <c r="B28" s="3">
        <v>42.3</v>
      </c>
      <c r="C28" s="7">
        <f>(B28-33.6)/33.6</f>
        <v>0.25892857142857129</v>
      </c>
    </row>
    <row r="29" spans="1:3" ht="18.75" customHeight="1" x14ac:dyDescent="0.3">
      <c r="A29" s="5" t="s">
        <v>30</v>
      </c>
      <c r="B29" s="6">
        <v>49.8</v>
      </c>
      <c r="C29" s="8">
        <f>(B29-38.9)/38.9</f>
        <v>0.28020565552699228</v>
      </c>
    </row>
    <row r="30" spans="1:3" ht="18.75" customHeight="1" x14ac:dyDescent="0.3">
      <c r="A30" s="2" t="s">
        <v>31</v>
      </c>
      <c r="B30" s="3">
        <v>58.4</v>
      </c>
      <c r="C30" s="7">
        <f>(B30-45.2)/45.2</f>
        <v>0.29203539823008839</v>
      </c>
    </row>
    <row r="31" spans="1:3" ht="18.75" customHeight="1" x14ac:dyDescent="0.3">
      <c r="A31" s="5" t="s">
        <v>32</v>
      </c>
      <c r="B31" s="6">
        <v>68.2</v>
      </c>
      <c r="C31" s="8">
        <f>(B31-53.7)/53.7</f>
        <v>0.27001862197392923</v>
      </c>
    </row>
    <row r="32" spans="1:3" ht="18.75" customHeight="1" x14ac:dyDescent="0.3">
      <c r="A32" s="2" t="s">
        <v>33</v>
      </c>
      <c r="B32" s="3">
        <v>60.1</v>
      </c>
      <c r="C32" s="7">
        <f>(B32-47.3)/47.3</f>
        <v>0.27061310782241027</v>
      </c>
    </row>
    <row r="33" spans="1:3" ht="18.75" customHeight="1" x14ac:dyDescent="0.3">
      <c r="A33" s="5" t="s">
        <v>34</v>
      </c>
      <c r="B33" s="6">
        <v>53.7</v>
      </c>
      <c r="C33" s="8">
        <f>(B33-41.8)/41.8</f>
        <v>0.28468899521531116</v>
      </c>
    </row>
    <row r="34" spans="1:3" ht="18.75" customHeight="1" x14ac:dyDescent="0.3">
      <c r="A34" s="2" t="s">
        <v>35</v>
      </c>
      <c r="B34" s="3">
        <v>46.3</v>
      </c>
      <c r="C34" s="7">
        <f>(B34-36.5)/36.5</f>
        <v>0.2684931506849314</v>
      </c>
    </row>
    <row r="35" spans="1:3" ht="18.75" customHeight="1" x14ac:dyDescent="0.3">
      <c r="A35" s="5" t="s">
        <v>36</v>
      </c>
      <c r="B35" s="6">
        <v>72.8</v>
      </c>
      <c r="C35" s="8">
        <f>(B35-57.4)/57.4</f>
        <v>0.26829268292682923</v>
      </c>
    </row>
    <row r="36" spans="1:3" ht="18.75" customHeight="1" x14ac:dyDescent="0.3">
      <c r="A36" s="2" t="s">
        <v>37</v>
      </c>
      <c r="B36" s="3">
        <v>85.4</v>
      </c>
      <c r="C36" s="7">
        <f>(B36-66.1)/66.1</f>
        <v>0.29198184568835117</v>
      </c>
    </row>
    <row r="37" spans="1:3" ht="18.75" customHeight="1" x14ac:dyDescent="0.3">
      <c r="A37" s="5" t="s">
        <v>38</v>
      </c>
      <c r="B37" s="6">
        <v>108.6</v>
      </c>
      <c r="C37" s="8">
        <f>(B37-84.2)/84.2</f>
        <v>0.28978622327790965</v>
      </c>
    </row>
    <row r="38" spans="1:3" ht="18.75" customHeight="1" x14ac:dyDescent="0.3">
      <c r="A38" s="2" t="s">
        <v>39</v>
      </c>
      <c r="B38" s="3">
        <v>35.200000000000003</v>
      </c>
      <c r="C38" s="7">
        <f>(B38-28.9)/28.9</f>
        <v>0.21799307958477523</v>
      </c>
    </row>
    <row r="39" spans="1:3" ht="18.75" customHeight="1" x14ac:dyDescent="0.3">
      <c r="A39" s="5" t="s">
        <v>40</v>
      </c>
      <c r="B39" s="6">
        <v>41.8</v>
      </c>
      <c r="C39" s="8">
        <f>(B39-34.6)/34.6</f>
        <v>0.20809248554913282</v>
      </c>
    </row>
    <row r="40" spans="1:3" ht="18.75" customHeight="1" x14ac:dyDescent="0.3">
      <c r="A40" s="2" t="s">
        <v>41</v>
      </c>
      <c r="B40" s="3">
        <v>50.4</v>
      </c>
      <c r="C40" s="7">
        <f>(B40-42.3)/42.3</f>
        <v>0.19148936170212771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showGridLines="0" zoomScaleNormal="100" workbookViewId="0">
      <pane ySplit="1" topLeftCell="A2" activePane="bottomLeft" state="frozen"/>
      <selection pane="bottomLeft" sqref="A1:XFD3"/>
    </sheetView>
  </sheetViews>
  <sheetFormatPr defaultColWidth="8.6640625" defaultRowHeight="14.4" x14ac:dyDescent="0.3"/>
  <cols>
    <col min="1" max="1" width="18" customWidth="1"/>
    <col min="2" max="3" width="24" customWidth="1"/>
  </cols>
  <sheetData>
    <row r="1" spans="1:3" ht="19.5" customHeight="1" x14ac:dyDescent="0.3">
      <c r="A1" s="1" t="s">
        <v>0</v>
      </c>
      <c r="B1" s="1" t="s">
        <v>42</v>
      </c>
      <c r="C1" s="1" t="s">
        <v>43</v>
      </c>
    </row>
    <row r="2" spans="1:3" ht="18.75" customHeight="1" x14ac:dyDescent="0.3">
      <c r="A2" s="2" t="s">
        <v>3</v>
      </c>
      <c r="B2" s="3">
        <v>10.74</v>
      </c>
      <c r="C2" s="3">
        <v>7.66</v>
      </c>
    </row>
    <row r="3" spans="1:3" ht="18.75" customHeight="1" x14ac:dyDescent="0.3">
      <c r="A3" s="5" t="s">
        <v>4</v>
      </c>
      <c r="B3" s="6">
        <v>11.3</v>
      </c>
      <c r="C3" s="6">
        <v>10.45</v>
      </c>
    </row>
    <row r="4" spans="1:3" ht="18.75" customHeight="1" x14ac:dyDescent="0.3">
      <c r="A4" s="2" t="s">
        <v>5</v>
      </c>
      <c r="B4" s="3">
        <v>14.13</v>
      </c>
      <c r="C4" s="3">
        <v>11.97</v>
      </c>
    </row>
    <row r="5" spans="1:3" ht="18.75" customHeight="1" x14ac:dyDescent="0.3">
      <c r="A5" s="5" t="s">
        <v>6</v>
      </c>
      <c r="B5" s="6">
        <v>16.11</v>
      </c>
      <c r="C5" s="6">
        <v>14.09</v>
      </c>
    </row>
    <row r="6" spans="1:3" ht="18.75" customHeight="1" x14ac:dyDescent="0.3">
      <c r="A6" s="2" t="s">
        <v>7</v>
      </c>
      <c r="B6" s="3">
        <v>20.07</v>
      </c>
      <c r="C6" s="3">
        <v>14.43</v>
      </c>
    </row>
    <row r="7" spans="1:3" ht="18.75" customHeight="1" x14ac:dyDescent="0.3">
      <c r="A7" s="5" t="s">
        <v>8</v>
      </c>
      <c r="B7" s="6">
        <v>23.37</v>
      </c>
      <c r="C7" s="6">
        <v>17.43</v>
      </c>
    </row>
    <row r="8" spans="1:3" ht="18.75" customHeight="1" x14ac:dyDescent="0.3">
      <c r="A8" s="2" t="s">
        <v>9</v>
      </c>
      <c r="B8" s="3">
        <v>22.23</v>
      </c>
      <c r="C8" s="3">
        <v>15.37</v>
      </c>
    </row>
    <row r="9" spans="1:3" ht="18.75" customHeight="1" x14ac:dyDescent="0.3">
      <c r="A9" s="5" t="s">
        <v>10</v>
      </c>
      <c r="B9" s="6">
        <v>17.21</v>
      </c>
      <c r="C9" s="6">
        <v>16.690000000000001</v>
      </c>
    </row>
    <row r="10" spans="1:3" ht="18.75" customHeight="1" x14ac:dyDescent="0.3">
      <c r="A10" s="2" t="s">
        <v>11</v>
      </c>
      <c r="B10" s="3">
        <v>15.85</v>
      </c>
      <c r="C10" s="3">
        <v>13.6</v>
      </c>
    </row>
    <row r="11" spans="1:3" ht="18.75" customHeight="1" x14ac:dyDescent="0.3">
      <c r="A11" s="5" t="s">
        <v>12</v>
      </c>
      <c r="B11" s="6">
        <v>21.92</v>
      </c>
      <c r="C11" s="6">
        <v>22.28</v>
      </c>
    </row>
    <row r="12" spans="1:3" ht="18.75" customHeight="1" x14ac:dyDescent="0.3">
      <c r="A12" s="2" t="s">
        <v>13</v>
      </c>
      <c r="B12" s="3">
        <v>26.93</v>
      </c>
      <c r="C12" s="3">
        <v>25.67</v>
      </c>
    </row>
    <row r="13" spans="1:3" ht="18.75" customHeight="1" x14ac:dyDescent="0.3">
      <c r="A13" s="5" t="s">
        <v>14</v>
      </c>
      <c r="B13" s="6">
        <v>36.71</v>
      </c>
      <c r="C13" s="6">
        <v>31.59</v>
      </c>
    </row>
    <row r="14" spans="1:3" ht="18.75" customHeight="1" x14ac:dyDescent="0.3">
      <c r="A14" s="2" t="s">
        <v>15</v>
      </c>
      <c r="B14" s="3">
        <v>11.1</v>
      </c>
      <c r="C14" s="3">
        <v>11.7</v>
      </c>
    </row>
    <row r="15" spans="1:3" ht="18.75" customHeight="1" x14ac:dyDescent="0.3">
      <c r="A15" s="5" t="s">
        <v>16</v>
      </c>
      <c r="B15" s="6">
        <v>13.72</v>
      </c>
      <c r="C15" s="6">
        <v>13.68</v>
      </c>
    </row>
    <row r="16" spans="1:3" ht="18.75" customHeight="1" x14ac:dyDescent="0.3">
      <c r="A16" s="2" t="s">
        <v>17</v>
      </c>
      <c r="B16" s="3">
        <v>18.239999999999998</v>
      </c>
      <c r="C16" s="3">
        <v>15.36</v>
      </c>
    </row>
    <row r="17" spans="1:3" ht="18.75" customHeight="1" x14ac:dyDescent="0.3">
      <c r="A17" s="5" t="s">
        <v>18</v>
      </c>
      <c r="B17" s="6">
        <v>20.6</v>
      </c>
      <c r="C17" s="6">
        <v>18.3</v>
      </c>
    </row>
    <row r="18" spans="1:3" ht="18.75" customHeight="1" x14ac:dyDescent="0.3">
      <c r="A18" s="2" t="s">
        <v>19</v>
      </c>
      <c r="B18" s="3">
        <v>22.33</v>
      </c>
      <c r="C18" s="3">
        <v>22.87</v>
      </c>
    </row>
    <row r="19" spans="1:3" ht="18.75" customHeight="1" x14ac:dyDescent="0.3">
      <c r="A19" s="5" t="s">
        <v>20</v>
      </c>
      <c r="B19" s="6">
        <v>28.35</v>
      </c>
      <c r="C19" s="6">
        <v>25.35</v>
      </c>
    </row>
    <row r="20" spans="1:3" ht="18.75" customHeight="1" x14ac:dyDescent="0.3">
      <c r="A20" s="2" t="s">
        <v>21</v>
      </c>
      <c r="B20" s="3">
        <v>25.87</v>
      </c>
      <c r="C20" s="3">
        <v>21.43</v>
      </c>
    </row>
    <row r="21" spans="1:3" ht="18.75" customHeight="1" x14ac:dyDescent="0.3">
      <c r="A21" s="5" t="s">
        <v>22</v>
      </c>
      <c r="B21" s="6">
        <v>19.38</v>
      </c>
      <c r="C21" s="6">
        <v>22.42</v>
      </c>
    </row>
    <row r="22" spans="1:3" ht="18.75" customHeight="1" x14ac:dyDescent="0.3">
      <c r="A22" s="2" t="s">
        <v>23</v>
      </c>
      <c r="B22" s="3">
        <v>19.73</v>
      </c>
      <c r="C22" s="3">
        <v>16.77</v>
      </c>
    </row>
    <row r="23" spans="1:3" ht="18.75" customHeight="1" x14ac:dyDescent="0.3">
      <c r="A23" s="5" t="s">
        <v>24</v>
      </c>
      <c r="B23" s="6">
        <v>30.24</v>
      </c>
      <c r="C23" s="6">
        <v>27.16</v>
      </c>
    </row>
    <row r="24" spans="1:3" ht="18.75" customHeight="1" x14ac:dyDescent="0.3">
      <c r="A24" s="2" t="s">
        <v>25</v>
      </c>
      <c r="B24" s="3">
        <v>32.26</v>
      </c>
      <c r="C24" s="3">
        <v>33.840000000000003</v>
      </c>
    </row>
    <row r="25" spans="1:3" ht="18.75" customHeight="1" x14ac:dyDescent="0.3">
      <c r="A25" s="5" t="s">
        <v>26</v>
      </c>
      <c r="B25" s="6">
        <v>39.28</v>
      </c>
      <c r="C25" s="6">
        <v>44.92</v>
      </c>
    </row>
    <row r="26" spans="1:3" ht="18.75" customHeight="1" x14ac:dyDescent="0.3">
      <c r="A26" s="2" t="s">
        <v>27</v>
      </c>
      <c r="B26" s="3">
        <v>15.71</v>
      </c>
      <c r="C26" s="3">
        <v>13.19</v>
      </c>
    </row>
    <row r="27" spans="1:3" ht="18.75" customHeight="1" x14ac:dyDescent="0.3">
      <c r="A27" s="5" t="s">
        <v>28</v>
      </c>
      <c r="B27" s="6">
        <v>16.559999999999999</v>
      </c>
      <c r="C27" s="6">
        <v>18.04</v>
      </c>
    </row>
    <row r="28" spans="1:3" ht="18.75" customHeight="1" x14ac:dyDescent="0.3">
      <c r="A28" s="2" t="s">
        <v>29</v>
      </c>
      <c r="B28" s="3">
        <v>19.09</v>
      </c>
      <c r="C28" s="3">
        <v>23.21</v>
      </c>
    </row>
    <row r="29" spans="1:3" ht="18.75" customHeight="1" x14ac:dyDescent="0.3">
      <c r="A29" s="5" t="s">
        <v>30</v>
      </c>
      <c r="B29" s="6">
        <v>22.35</v>
      </c>
      <c r="C29" s="6">
        <v>27.45</v>
      </c>
    </row>
    <row r="30" spans="1:3" ht="18.75" customHeight="1" x14ac:dyDescent="0.3">
      <c r="A30" s="2" t="s">
        <v>31</v>
      </c>
      <c r="B30" s="3">
        <v>30.41</v>
      </c>
      <c r="C30" s="3">
        <v>27.99</v>
      </c>
    </row>
    <row r="31" spans="1:3" ht="18.75" customHeight="1" x14ac:dyDescent="0.3">
      <c r="A31" s="5" t="s">
        <v>32</v>
      </c>
      <c r="B31" s="6">
        <v>33.65</v>
      </c>
      <c r="C31" s="6">
        <v>34.549999999999997</v>
      </c>
    </row>
    <row r="32" spans="1:3" ht="18.75" customHeight="1" x14ac:dyDescent="0.3">
      <c r="A32" s="2" t="s">
        <v>33</v>
      </c>
      <c r="B32" s="3">
        <v>30.69</v>
      </c>
      <c r="C32" s="3">
        <v>29.41</v>
      </c>
    </row>
    <row r="33" spans="1:3" ht="18.75" customHeight="1" x14ac:dyDescent="0.3">
      <c r="A33" s="5" t="s">
        <v>34</v>
      </c>
      <c r="B33" s="6">
        <v>26.85</v>
      </c>
      <c r="C33" s="6">
        <v>26.85</v>
      </c>
    </row>
    <row r="34" spans="1:3" ht="18.75" customHeight="1" x14ac:dyDescent="0.3">
      <c r="A34" s="2" t="s">
        <v>35</v>
      </c>
      <c r="B34" s="3">
        <v>22.11</v>
      </c>
      <c r="C34" s="3">
        <v>24.19</v>
      </c>
    </row>
    <row r="35" spans="1:3" ht="18.75" customHeight="1" x14ac:dyDescent="0.3">
      <c r="A35" s="5" t="s">
        <v>36</v>
      </c>
      <c r="B35" s="6">
        <v>37.729999999999997</v>
      </c>
      <c r="C35" s="6">
        <v>35.07</v>
      </c>
    </row>
    <row r="36" spans="1:3" ht="18.75" customHeight="1" x14ac:dyDescent="0.3">
      <c r="A36" s="2" t="s">
        <v>37</v>
      </c>
      <c r="B36" s="3">
        <v>38.93</v>
      </c>
      <c r="C36" s="3">
        <v>46.47</v>
      </c>
    </row>
    <row r="37" spans="1:3" ht="18.75" customHeight="1" x14ac:dyDescent="0.3">
      <c r="A37" s="5" t="s">
        <v>38</v>
      </c>
      <c r="B37" s="6">
        <v>51.06</v>
      </c>
      <c r="C37" s="6">
        <v>57.54</v>
      </c>
    </row>
    <row r="38" spans="1:3" ht="18.75" customHeight="1" x14ac:dyDescent="0.3">
      <c r="A38" s="2" t="s">
        <v>39</v>
      </c>
      <c r="B38" s="3">
        <v>17.420000000000002</v>
      </c>
      <c r="C38" s="3">
        <v>17.78</v>
      </c>
    </row>
    <row r="39" spans="1:3" ht="18.75" customHeight="1" x14ac:dyDescent="0.3">
      <c r="A39" s="5" t="s">
        <v>40</v>
      </c>
      <c r="B39" s="6">
        <v>19.68</v>
      </c>
      <c r="C39" s="6">
        <v>22.12</v>
      </c>
    </row>
    <row r="40" spans="1:3" ht="18.75" customHeight="1" x14ac:dyDescent="0.3">
      <c r="A40" s="2" t="s">
        <v>41</v>
      </c>
      <c r="B40" s="3">
        <v>24.81</v>
      </c>
      <c r="C40" s="3">
        <v>25.59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showGridLines="0" zoomScaleNormal="100" workbookViewId="0">
      <pane ySplit="1" topLeftCell="A2" activePane="bottomLeft" state="frozen"/>
      <selection pane="bottomLeft" sqref="A1:XFD3"/>
    </sheetView>
  </sheetViews>
  <sheetFormatPr defaultColWidth="8.6640625" defaultRowHeight="14.4" x14ac:dyDescent="0.3"/>
  <cols>
    <col min="1" max="4" width="18" customWidth="1"/>
  </cols>
  <sheetData>
    <row r="1" spans="1:4" ht="19.5" customHeight="1" x14ac:dyDescent="0.3">
      <c r="A1" s="1" t="s">
        <v>0</v>
      </c>
      <c r="B1" s="1" t="s">
        <v>44</v>
      </c>
      <c r="C1" s="1" t="s">
        <v>45</v>
      </c>
      <c r="D1" s="1" t="s">
        <v>46</v>
      </c>
    </row>
    <row r="2" spans="1:4" ht="18.75" customHeight="1" x14ac:dyDescent="0.3">
      <c r="A2" s="2" t="s">
        <v>3</v>
      </c>
      <c r="B2" s="9">
        <v>12400</v>
      </c>
      <c r="C2" s="9">
        <v>148</v>
      </c>
      <c r="D2" s="9">
        <v>1890</v>
      </c>
    </row>
    <row r="3" spans="1:4" ht="18.75" customHeight="1" x14ac:dyDescent="0.3">
      <c r="A3" s="5" t="s">
        <v>4</v>
      </c>
      <c r="B3" s="10">
        <v>11700</v>
      </c>
      <c r="C3" s="10">
        <v>186</v>
      </c>
      <c r="D3" s="10">
        <v>3150</v>
      </c>
    </row>
    <row r="4" spans="1:4" ht="18.75" customHeight="1" x14ac:dyDescent="0.3">
      <c r="A4" s="2" t="s">
        <v>5</v>
      </c>
      <c r="B4" s="9">
        <v>12200</v>
      </c>
      <c r="C4" s="9">
        <v>214</v>
      </c>
      <c r="D4" s="9">
        <v>4020</v>
      </c>
    </row>
    <row r="5" spans="1:4" ht="18.75" customHeight="1" x14ac:dyDescent="0.3">
      <c r="A5" s="5" t="s">
        <v>6</v>
      </c>
      <c r="B5" s="10">
        <v>12200</v>
      </c>
      <c r="C5" s="10">
        <v>248</v>
      </c>
      <c r="D5" s="10">
        <v>4590</v>
      </c>
    </row>
    <row r="6" spans="1:4" ht="18.75" customHeight="1" x14ac:dyDescent="0.3">
      <c r="A6" s="2" t="s">
        <v>7</v>
      </c>
      <c r="B6" s="9">
        <v>12400</v>
      </c>
      <c r="C6" s="9">
        <v>278</v>
      </c>
      <c r="D6" s="9">
        <v>3690</v>
      </c>
    </row>
    <row r="7" spans="1:4" ht="18.75" customHeight="1" x14ac:dyDescent="0.3">
      <c r="A7" s="5" t="s">
        <v>8</v>
      </c>
      <c r="B7" s="10">
        <v>12700</v>
      </c>
      <c r="C7" s="10">
        <v>321</v>
      </c>
      <c r="D7" s="10">
        <v>4950</v>
      </c>
    </row>
    <row r="8" spans="1:4" ht="18.75" customHeight="1" x14ac:dyDescent="0.3">
      <c r="A8" s="2" t="s">
        <v>9</v>
      </c>
      <c r="B8" s="9">
        <v>12600</v>
      </c>
      <c r="C8" s="9">
        <v>298</v>
      </c>
      <c r="D8" s="9">
        <v>4910</v>
      </c>
    </row>
    <row r="9" spans="1:4" ht="18.75" customHeight="1" x14ac:dyDescent="0.3">
      <c r="A9" s="5" t="s">
        <v>10</v>
      </c>
      <c r="B9" s="10">
        <v>13800</v>
      </c>
      <c r="C9" s="10">
        <v>246</v>
      </c>
      <c r="D9" s="10">
        <v>3240</v>
      </c>
    </row>
    <row r="10" spans="1:4" ht="18.75" customHeight="1" x14ac:dyDescent="0.3">
      <c r="A10" s="2" t="s">
        <v>11</v>
      </c>
      <c r="B10" s="9">
        <v>13500</v>
      </c>
      <c r="C10" s="9">
        <v>218</v>
      </c>
      <c r="D10" s="9">
        <v>3830</v>
      </c>
    </row>
    <row r="11" spans="1:4" ht="18.75" customHeight="1" x14ac:dyDescent="0.3">
      <c r="A11" s="5" t="s">
        <v>12</v>
      </c>
      <c r="B11" s="10">
        <v>13800</v>
      </c>
      <c r="C11" s="10">
        <v>320</v>
      </c>
      <c r="D11" s="10">
        <v>5660</v>
      </c>
    </row>
    <row r="12" spans="1:4" ht="18.75" customHeight="1" x14ac:dyDescent="0.3">
      <c r="A12" s="2" t="s">
        <v>13</v>
      </c>
      <c r="B12" s="9">
        <v>13400</v>
      </c>
      <c r="C12" s="9">
        <v>393</v>
      </c>
      <c r="D12" s="9">
        <v>4390</v>
      </c>
    </row>
    <row r="13" spans="1:4" ht="18.75" customHeight="1" x14ac:dyDescent="0.3">
      <c r="A13" s="5" t="s">
        <v>14</v>
      </c>
      <c r="B13" s="10">
        <v>13900</v>
      </c>
      <c r="C13" s="10">
        <v>491</v>
      </c>
      <c r="D13" s="10">
        <v>6790</v>
      </c>
    </row>
    <row r="14" spans="1:4" ht="18.75" customHeight="1" x14ac:dyDescent="0.3">
      <c r="A14" s="2" t="s">
        <v>15</v>
      </c>
      <c r="B14" s="9">
        <v>14100</v>
      </c>
      <c r="C14" s="9">
        <v>162</v>
      </c>
      <c r="D14" s="9">
        <v>1940</v>
      </c>
    </row>
    <row r="15" spans="1:4" ht="18.75" customHeight="1" x14ac:dyDescent="0.3">
      <c r="A15" s="5" t="s">
        <v>16</v>
      </c>
      <c r="B15" s="10">
        <v>14400</v>
      </c>
      <c r="C15" s="10">
        <v>190</v>
      </c>
      <c r="D15" s="10">
        <v>3210</v>
      </c>
    </row>
    <row r="16" spans="1:4" ht="18.75" customHeight="1" x14ac:dyDescent="0.3">
      <c r="A16" s="2" t="s">
        <v>17</v>
      </c>
      <c r="B16" s="9">
        <v>13400</v>
      </c>
      <c r="C16" s="9">
        <v>251</v>
      </c>
      <c r="D16" s="9">
        <v>4010</v>
      </c>
    </row>
    <row r="17" spans="1:4" ht="18.75" customHeight="1" x14ac:dyDescent="0.3">
      <c r="A17" s="5" t="s">
        <v>18</v>
      </c>
      <c r="B17" s="10">
        <v>13900</v>
      </c>
      <c r="C17" s="10">
        <v>280</v>
      </c>
      <c r="D17" s="10">
        <v>4790</v>
      </c>
    </row>
    <row r="18" spans="1:4" ht="18.75" customHeight="1" x14ac:dyDescent="0.3">
      <c r="A18" s="2" t="s">
        <v>19</v>
      </c>
      <c r="B18" s="9">
        <v>15000</v>
      </c>
      <c r="C18" s="9">
        <v>301</v>
      </c>
      <c r="D18" s="9">
        <v>3540</v>
      </c>
    </row>
    <row r="19" spans="1:4" ht="18.75" customHeight="1" x14ac:dyDescent="0.3">
      <c r="A19" s="5" t="s">
        <v>20</v>
      </c>
      <c r="B19" s="10">
        <v>14200</v>
      </c>
      <c r="C19" s="10">
        <v>378</v>
      </c>
      <c r="D19" s="10">
        <v>4960</v>
      </c>
    </row>
    <row r="20" spans="1:4" ht="18.75" customHeight="1" x14ac:dyDescent="0.3">
      <c r="A20" s="2" t="s">
        <v>21</v>
      </c>
      <c r="B20" s="9">
        <v>14400</v>
      </c>
      <c r="C20" s="9">
        <v>328</v>
      </c>
      <c r="D20" s="9">
        <v>3790</v>
      </c>
    </row>
    <row r="21" spans="1:4" ht="18.75" customHeight="1" x14ac:dyDescent="0.3">
      <c r="A21" s="5" t="s">
        <v>22</v>
      </c>
      <c r="B21" s="10">
        <v>14700</v>
      </c>
      <c r="C21" s="10">
        <v>284</v>
      </c>
      <c r="D21" s="10">
        <v>4690</v>
      </c>
    </row>
    <row r="22" spans="1:4" ht="18.75" customHeight="1" x14ac:dyDescent="0.3">
      <c r="A22" s="2" t="s">
        <v>23</v>
      </c>
      <c r="B22" s="9">
        <v>14500</v>
      </c>
      <c r="C22" s="9">
        <v>252</v>
      </c>
      <c r="D22" s="9">
        <v>3480</v>
      </c>
    </row>
    <row r="23" spans="1:4" ht="18.75" customHeight="1" x14ac:dyDescent="0.3">
      <c r="A23" s="5" t="s">
        <v>24</v>
      </c>
      <c r="B23" s="10">
        <v>14600</v>
      </c>
      <c r="C23" s="10">
        <v>393</v>
      </c>
      <c r="D23" s="10">
        <v>5360</v>
      </c>
    </row>
    <row r="24" spans="1:4" ht="18.75" customHeight="1" x14ac:dyDescent="0.3">
      <c r="A24" s="2" t="s">
        <v>25</v>
      </c>
      <c r="B24" s="9">
        <v>15700</v>
      </c>
      <c r="C24" s="9">
        <v>421</v>
      </c>
      <c r="D24" s="9">
        <v>6380</v>
      </c>
    </row>
    <row r="25" spans="1:4" ht="18.75" customHeight="1" x14ac:dyDescent="0.3">
      <c r="A25" s="5" t="s">
        <v>26</v>
      </c>
      <c r="B25" s="10">
        <v>14800</v>
      </c>
      <c r="C25" s="10">
        <v>569</v>
      </c>
      <c r="D25" s="10">
        <v>6330</v>
      </c>
    </row>
    <row r="26" spans="1:4" ht="18.75" customHeight="1" x14ac:dyDescent="0.3">
      <c r="A26" s="2" t="s">
        <v>27</v>
      </c>
      <c r="B26" s="9">
        <v>15400</v>
      </c>
      <c r="C26" s="9">
        <v>188</v>
      </c>
      <c r="D26" s="9">
        <v>3510</v>
      </c>
    </row>
    <row r="27" spans="1:4" ht="18.75" customHeight="1" x14ac:dyDescent="0.3">
      <c r="A27" s="5" t="s">
        <v>28</v>
      </c>
      <c r="B27" s="10">
        <v>14800</v>
      </c>
      <c r="C27" s="10">
        <v>234</v>
      </c>
      <c r="D27" s="10">
        <v>4300</v>
      </c>
    </row>
    <row r="28" spans="1:4" ht="18.75" customHeight="1" x14ac:dyDescent="0.3">
      <c r="A28" s="2" t="s">
        <v>29</v>
      </c>
      <c r="B28" s="9">
        <v>15800</v>
      </c>
      <c r="C28" s="9">
        <v>268</v>
      </c>
      <c r="D28" s="9">
        <v>3280</v>
      </c>
    </row>
    <row r="29" spans="1:4" ht="18.75" customHeight="1" x14ac:dyDescent="0.3">
      <c r="A29" s="5" t="s">
        <v>30</v>
      </c>
      <c r="B29" s="10">
        <v>15600</v>
      </c>
      <c r="C29" s="10">
        <v>319</v>
      </c>
      <c r="D29" s="10">
        <v>6070</v>
      </c>
    </row>
    <row r="30" spans="1:4" ht="18.75" customHeight="1" x14ac:dyDescent="0.3">
      <c r="A30" s="2" t="s">
        <v>31</v>
      </c>
      <c r="B30" s="9">
        <v>15700</v>
      </c>
      <c r="C30" s="9">
        <v>372</v>
      </c>
      <c r="D30" s="9">
        <v>4140</v>
      </c>
    </row>
    <row r="31" spans="1:4" ht="18.75" customHeight="1" x14ac:dyDescent="0.3">
      <c r="A31" s="5" t="s">
        <v>32</v>
      </c>
      <c r="B31" s="10">
        <v>16100</v>
      </c>
      <c r="C31" s="10">
        <v>424</v>
      </c>
      <c r="D31" s="10">
        <v>4770</v>
      </c>
    </row>
    <row r="32" spans="1:4" ht="18.75" customHeight="1" x14ac:dyDescent="0.3">
      <c r="A32" s="2" t="s">
        <v>33</v>
      </c>
      <c r="B32" s="9">
        <v>16700</v>
      </c>
      <c r="C32" s="9">
        <v>360</v>
      </c>
      <c r="D32" s="9">
        <v>7130</v>
      </c>
    </row>
    <row r="33" spans="1:4" ht="18.75" customHeight="1" x14ac:dyDescent="0.3">
      <c r="A33" s="5" t="s">
        <v>34</v>
      </c>
      <c r="B33" s="10">
        <v>16600</v>
      </c>
      <c r="C33" s="10">
        <v>323</v>
      </c>
      <c r="D33" s="10">
        <v>4180</v>
      </c>
    </row>
    <row r="34" spans="1:4" ht="18.75" customHeight="1" x14ac:dyDescent="0.3">
      <c r="A34" s="2" t="s">
        <v>35</v>
      </c>
      <c r="B34" s="9">
        <v>16500</v>
      </c>
      <c r="C34" s="9">
        <v>281</v>
      </c>
      <c r="D34" s="9">
        <v>4630</v>
      </c>
    </row>
    <row r="35" spans="1:4" ht="18.75" customHeight="1" x14ac:dyDescent="0.3">
      <c r="A35" s="5" t="s">
        <v>36</v>
      </c>
      <c r="B35" s="10">
        <v>16800</v>
      </c>
      <c r="C35" s="10">
        <v>433</v>
      </c>
      <c r="D35" s="10">
        <v>7950</v>
      </c>
    </row>
    <row r="36" spans="1:4" ht="18.75" customHeight="1" x14ac:dyDescent="0.3">
      <c r="A36" s="2" t="s">
        <v>37</v>
      </c>
      <c r="B36" s="9">
        <v>16600</v>
      </c>
      <c r="C36" s="9">
        <v>514</v>
      </c>
      <c r="D36" s="9">
        <v>7540</v>
      </c>
    </row>
    <row r="37" spans="1:4" ht="18.75" customHeight="1" x14ac:dyDescent="0.3">
      <c r="A37" s="5" t="s">
        <v>38</v>
      </c>
      <c r="B37" s="10">
        <v>17500</v>
      </c>
      <c r="C37" s="10">
        <v>621</v>
      </c>
      <c r="D37" s="10">
        <v>7300</v>
      </c>
    </row>
    <row r="38" spans="1:4" ht="18.75" customHeight="1" x14ac:dyDescent="0.3">
      <c r="A38" s="2" t="s">
        <v>39</v>
      </c>
      <c r="B38" s="9">
        <v>16600</v>
      </c>
      <c r="C38" s="9">
        <v>212</v>
      </c>
      <c r="D38" s="9">
        <v>3030</v>
      </c>
    </row>
    <row r="39" spans="1:4" ht="18.75" customHeight="1" x14ac:dyDescent="0.3">
      <c r="A39" s="5" t="s">
        <v>40</v>
      </c>
      <c r="B39" s="10">
        <v>16600</v>
      </c>
      <c r="C39" s="10">
        <v>252</v>
      </c>
      <c r="D39" s="10">
        <v>2910</v>
      </c>
    </row>
    <row r="40" spans="1:4" ht="18.75" customHeight="1" x14ac:dyDescent="0.3">
      <c r="A40" s="2" t="s">
        <v>41</v>
      </c>
      <c r="B40" s="9">
        <v>17700</v>
      </c>
      <c r="C40" s="9">
        <v>285</v>
      </c>
      <c r="D40" s="9">
        <v>4600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9"/>
  <sheetViews>
    <sheetView showGridLines="0" topLeftCell="E1" zoomScaleNormal="100" workbookViewId="0">
      <pane ySplit="1" topLeftCell="A2" activePane="bottomLeft" state="frozen"/>
      <selection pane="bottomLeft" sqref="A1:XFD3"/>
    </sheetView>
  </sheetViews>
  <sheetFormatPr defaultColWidth="8.6640625" defaultRowHeight="14.4" x14ac:dyDescent="0.3"/>
  <cols>
    <col min="1" max="1" width="18" customWidth="1"/>
    <col min="2" max="3" width="12" customWidth="1"/>
    <col min="4" max="4" width="14" customWidth="1"/>
    <col min="5" max="5" width="12" customWidth="1"/>
    <col min="6" max="6" width="14" customWidth="1"/>
    <col min="7" max="7" width="16" customWidth="1"/>
  </cols>
  <sheetData>
    <row r="1" spans="1:7" ht="19.5" customHeight="1" x14ac:dyDescent="0.3">
      <c r="A1" s="1" t="s">
        <v>0</v>
      </c>
      <c r="B1" s="1" t="s">
        <v>47</v>
      </c>
      <c r="C1" s="1" t="s">
        <v>48</v>
      </c>
      <c r="D1" s="1" t="s">
        <v>46</v>
      </c>
      <c r="E1" s="1" t="s">
        <v>49</v>
      </c>
      <c r="F1" s="1" t="s">
        <v>50</v>
      </c>
      <c r="G1" s="1" t="s">
        <v>51</v>
      </c>
    </row>
    <row r="2" spans="1:7" ht="18.75" customHeight="1" x14ac:dyDescent="0.3">
      <c r="A2" s="2" t="s">
        <v>3</v>
      </c>
      <c r="B2" s="11" t="s">
        <v>52</v>
      </c>
      <c r="C2" s="9">
        <v>17</v>
      </c>
      <c r="D2" s="9">
        <v>1170</v>
      </c>
      <c r="E2" s="9">
        <v>96</v>
      </c>
      <c r="F2" s="9">
        <v>11500</v>
      </c>
      <c r="G2" s="7">
        <f t="shared" ref="G2:G25" si="0">E2/D2</f>
        <v>8.2051282051282051E-2</v>
      </c>
    </row>
    <row r="3" spans="1:7" ht="18.75" customHeight="1" x14ac:dyDescent="0.3">
      <c r="A3" s="5" t="s">
        <v>3</v>
      </c>
      <c r="B3" s="12" t="s">
        <v>53</v>
      </c>
      <c r="C3" s="10">
        <v>4</v>
      </c>
      <c r="D3" s="10">
        <v>1070</v>
      </c>
      <c r="E3" s="10">
        <v>64</v>
      </c>
      <c r="F3" s="10">
        <v>11500</v>
      </c>
      <c r="G3" s="8">
        <f t="shared" si="0"/>
        <v>5.9813084112149535E-2</v>
      </c>
    </row>
    <row r="4" spans="1:7" ht="18.75" customHeight="1" x14ac:dyDescent="0.3">
      <c r="A4" s="2" t="s">
        <v>4</v>
      </c>
      <c r="B4" s="11" t="s">
        <v>52</v>
      </c>
      <c r="C4" s="9">
        <v>16</v>
      </c>
      <c r="D4" s="9">
        <v>1270</v>
      </c>
      <c r="E4" s="9">
        <v>112</v>
      </c>
      <c r="F4" s="9">
        <v>11594</v>
      </c>
      <c r="G4" s="7">
        <f t="shared" si="0"/>
        <v>8.8188976377952755E-2</v>
      </c>
    </row>
    <row r="5" spans="1:7" ht="18.75" customHeight="1" x14ac:dyDescent="0.3">
      <c r="A5" s="5" t="s">
        <v>4</v>
      </c>
      <c r="B5" s="12" t="s">
        <v>53</v>
      </c>
      <c r="C5" s="10">
        <v>6</v>
      </c>
      <c r="D5" s="10">
        <v>780</v>
      </c>
      <c r="E5" s="10">
        <v>76</v>
      </c>
      <c r="F5" s="10">
        <v>11533</v>
      </c>
      <c r="G5" s="8">
        <f t="shared" si="0"/>
        <v>9.7435897435897437E-2</v>
      </c>
    </row>
    <row r="6" spans="1:7" ht="18.75" customHeight="1" x14ac:dyDescent="0.3">
      <c r="A6" s="2" t="s">
        <v>5</v>
      </c>
      <c r="B6" s="11" t="s">
        <v>52</v>
      </c>
      <c r="C6" s="9">
        <v>17</v>
      </c>
      <c r="D6" s="9">
        <v>1370</v>
      </c>
      <c r="E6" s="9">
        <v>131</v>
      </c>
      <c r="F6" s="9">
        <v>11835</v>
      </c>
      <c r="G6" s="7">
        <f t="shared" si="0"/>
        <v>9.5620437956204382E-2</v>
      </c>
    </row>
    <row r="7" spans="1:7" ht="18.75" customHeight="1" x14ac:dyDescent="0.3">
      <c r="A7" s="5" t="s">
        <v>5</v>
      </c>
      <c r="B7" s="12" t="s">
        <v>53</v>
      </c>
      <c r="C7" s="10">
        <v>2</v>
      </c>
      <c r="D7" s="10">
        <v>1360</v>
      </c>
      <c r="E7" s="10">
        <v>90</v>
      </c>
      <c r="F7" s="10">
        <v>11774</v>
      </c>
      <c r="G7" s="8">
        <f t="shared" si="0"/>
        <v>6.6176470588235295E-2</v>
      </c>
    </row>
    <row r="8" spans="1:7" ht="18.75" customHeight="1" x14ac:dyDescent="0.3">
      <c r="A8" s="2" t="s">
        <v>6</v>
      </c>
      <c r="B8" s="11" t="s">
        <v>52</v>
      </c>
      <c r="C8" s="9">
        <v>13</v>
      </c>
      <c r="D8" s="9">
        <v>2700</v>
      </c>
      <c r="E8" s="9">
        <v>150</v>
      </c>
      <c r="F8" s="9">
        <v>11899</v>
      </c>
      <c r="G8" s="7">
        <f t="shared" si="0"/>
        <v>5.5555555555555552E-2</v>
      </c>
    </row>
    <row r="9" spans="1:7" ht="18.75" customHeight="1" x14ac:dyDescent="0.3">
      <c r="A9" s="5" t="s">
        <v>6</v>
      </c>
      <c r="B9" s="12" t="s">
        <v>53</v>
      </c>
      <c r="C9" s="10">
        <v>8</v>
      </c>
      <c r="D9" s="10">
        <v>1110</v>
      </c>
      <c r="E9" s="10">
        <v>104</v>
      </c>
      <c r="F9" s="10">
        <v>11877</v>
      </c>
      <c r="G9" s="8">
        <f t="shared" si="0"/>
        <v>9.3693693693693694E-2</v>
      </c>
    </row>
    <row r="10" spans="1:7" ht="18.75" customHeight="1" x14ac:dyDescent="0.3">
      <c r="A10" s="2" t="s">
        <v>7</v>
      </c>
      <c r="B10" s="11" t="s">
        <v>52</v>
      </c>
      <c r="C10" s="9">
        <v>11</v>
      </c>
      <c r="D10" s="9">
        <v>1870</v>
      </c>
      <c r="E10" s="9">
        <v>169</v>
      </c>
      <c r="F10" s="9">
        <v>12004</v>
      </c>
      <c r="G10" s="7">
        <f t="shared" si="0"/>
        <v>9.0374331550802142E-2</v>
      </c>
    </row>
    <row r="11" spans="1:7" ht="18.75" customHeight="1" x14ac:dyDescent="0.3">
      <c r="A11" s="5" t="s">
        <v>7</v>
      </c>
      <c r="B11" s="12" t="s">
        <v>53</v>
      </c>
      <c r="C11" s="10">
        <v>6</v>
      </c>
      <c r="D11" s="10">
        <v>2230</v>
      </c>
      <c r="E11" s="10">
        <v>118</v>
      </c>
      <c r="F11" s="10">
        <v>12046</v>
      </c>
      <c r="G11" s="8">
        <f t="shared" si="0"/>
        <v>5.2914798206278028E-2</v>
      </c>
    </row>
    <row r="12" spans="1:7" ht="18.75" customHeight="1" x14ac:dyDescent="0.3">
      <c r="A12" s="2" t="s">
        <v>8</v>
      </c>
      <c r="B12" s="11" t="s">
        <v>52</v>
      </c>
      <c r="C12" s="9">
        <v>9</v>
      </c>
      <c r="D12" s="9">
        <v>2010</v>
      </c>
      <c r="E12" s="9">
        <v>196</v>
      </c>
      <c r="F12" s="9">
        <v>12178</v>
      </c>
      <c r="G12" s="7">
        <f t="shared" si="0"/>
        <v>9.7512437810945277E-2</v>
      </c>
    </row>
    <row r="13" spans="1:7" ht="18.75" customHeight="1" x14ac:dyDescent="0.3">
      <c r="A13" s="5" t="s">
        <v>8</v>
      </c>
      <c r="B13" s="12" t="s">
        <v>53</v>
      </c>
      <c r="C13" s="10">
        <v>8</v>
      </c>
      <c r="D13" s="10">
        <v>1610</v>
      </c>
      <c r="E13" s="10">
        <v>139</v>
      </c>
      <c r="F13" s="10">
        <v>12181</v>
      </c>
      <c r="G13" s="8">
        <f t="shared" si="0"/>
        <v>8.6335403726708074E-2</v>
      </c>
    </row>
    <row r="14" spans="1:7" ht="18.75" customHeight="1" x14ac:dyDescent="0.3">
      <c r="A14" s="2" t="s">
        <v>9</v>
      </c>
      <c r="B14" s="11" t="s">
        <v>52</v>
      </c>
      <c r="C14" s="9">
        <v>20</v>
      </c>
      <c r="D14" s="9">
        <v>3330</v>
      </c>
      <c r="E14" s="9">
        <v>178</v>
      </c>
      <c r="F14" s="9">
        <v>12294</v>
      </c>
      <c r="G14" s="7">
        <f t="shared" si="0"/>
        <v>5.3453453453453453E-2</v>
      </c>
    </row>
    <row r="15" spans="1:7" ht="18.75" customHeight="1" x14ac:dyDescent="0.3">
      <c r="A15" s="5" t="s">
        <v>9</v>
      </c>
      <c r="B15" s="12" t="s">
        <v>53</v>
      </c>
      <c r="C15" s="10">
        <v>3</v>
      </c>
      <c r="D15" s="10">
        <v>1670</v>
      </c>
      <c r="E15" s="10">
        <v>128</v>
      </c>
      <c r="F15" s="10">
        <v>12279</v>
      </c>
      <c r="G15" s="8">
        <f t="shared" si="0"/>
        <v>7.6646706586826346E-2</v>
      </c>
    </row>
    <row r="16" spans="1:7" ht="18.75" customHeight="1" x14ac:dyDescent="0.3">
      <c r="A16" s="2" t="s">
        <v>10</v>
      </c>
      <c r="B16" s="11" t="s">
        <v>52</v>
      </c>
      <c r="C16" s="9">
        <v>15</v>
      </c>
      <c r="D16" s="9">
        <v>2800</v>
      </c>
      <c r="E16" s="9">
        <v>158</v>
      </c>
      <c r="F16" s="9">
        <v>12423</v>
      </c>
      <c r="G16" s="7">
        <f t="shared" si="0"/>
        <v>5.6428571428571425E-2</v>
      </c>
    </row>
    <row r="17" spans="1:7" ht="18.75" customHeight="1" x14ac:dyDescent="0.3">
      <c r="A17" s="5" t="s">
        <v>10</v>
      </c>
      <c r="B17" s="12" t="s">
        <v>53</v>
      </c>
      <c r="C17" s="10">
        <v>3</v>
      </c>
      <c r="D17" s="10">
        <v>1180</v>
      </c>
      <c r="E17" s="10">
        <v>115</v>
      </c>
      <c r="F17" s="10">
        <v>12410</v>
      </c>
      <c r="G17" s="8">
        <f t="shared" si="0"/>
        <v>9.7457627118644072E-2</v>
      </c>
    </row>
    <row r="18" spans="1:7" ht="18.75" customHeight="1" x14ac:dyDescent="0.3">
      <c r="A18" s="2" t="s">
        <v>11</v>
      </c>
      <c r="B18" s="11" t="s">
        <v>52</v>
      </c>
      <c r="C18" s="9">
        <v>21</v>
      </c>
      <c r="D18" s="9">
        <v>2150</v>
      </c>
      <c r="E18" s="9">
        <v>136</v>
      </c>
      <c r="F18" s="9">
        <v>12473</v>
      </c>
      <c r="G18" s="7">
        <f t="shared" si="0"/>
        <v>6.3255813953488366E-2</v>
      </c>
    </row>
    <row r="19" spans="1:7" ht="18.75" customHeight="1" x14ac:dyDescent="0.3">
      <c r="A19" s="5" t="s">
        <v>11</v>
      </c>
      <c r="B19" s="12" t="s">
        <v>53</v>
      </c>
      <c r="C19" s="10">
        <v>3</v>
      </c>
      <c r="D19" s="10">
        <v>1240</v>
      </c>
      <c r="E19" s="10">
        <v>100</v>
      </c>
      <c r="F19" s="10">
        <v>12487</v>
      </c>
      <c r="G19" s="8">
        <f t="shared" si="0"/>
        <v>8.0645161290322578E-2</v>
      </c>
    </row>
    <row r="20" spans="1:7" ht="18.75" customHeight="1" x14ac:dyDescent="0.3">
      <c r="A20" s="2" t="s">
        <v>12</v>
      </c>
      <c r="B20" s="11" t="s">
        <v>52</v>
      </c>
      <c r="C20" s="9">
        <v>20</v>
      </c>
      <c r="D20" s="9">
        <v>2060</v>
      </c>
      <c r="E20" s="9">
        <v>199</v>
      </c>
      <c r="F20" s="9">
        <v>12727</v>
      </c>
      <c r="G20" s="7">
        <f t="shared" si="0"/>
        <v>9.660194174757282E-2</v>
      </c>
    </row>
    <row r="21" spans="1:7" ht="18.75" customHeight="1" x14ac:dyDescent="0.3">
      <c r="A21" s="5" t="s">
        <v>12</v>
      </c>
      <c r="B21" s="12" t="s">
        <v>53</v>
      </c>
      <c r="C21" s="10">
        <v>3</v>
      </c>
      <c r="D21" s="10">
        <v>1720</v>
      </c>
      <c r="E21" s="10">
        <v>149</v>
      </c>
      <c r="F21" s="10">
        <v>12667</v>
      </c>
      <c r="G21" s="8">
        <f t="shared" si="0"/>
        <v>8.662790697674419E-2</v>
      </c>
    </row>
    <row r="22" spans="1:7" ht="18.75" customHeight="1" x14ac:dyDescent="0.3">
      <c r="A22" s="2" t="s">
        <v>13</v>
      </c>
      <c r="B22" s="11" t="s">
        <v>52</v>
      </c>
      <c r="C22" s="9">
        <v>14</v>
      </c>
      <c r="D22" s="9">
        <v>2730</v>
      </c>
      <c r="E22" s="9">
        <v>234</v>
      </c>
      <c r="F22" s="9">
        <v>12813</v>
      </c>
      <c r="G22" s="7">
        <f t="shared" si="0"/>
        <v>8.5714285714285715E-2</v>
      </c>
    </row>
    <row r="23" spans="1:7" ht="18.75" customHeight="1" x14ac:dyDescent="0.3">
      <c r="A23" s="5" t="s">
        <v>13</v>
      </c>
      <c r="B23" s="12" t="s">
        <v>53</v>
      </c>
      <c r="C23" s="10">
        <v>7</v>
      </c>
      <c r="D23" s="10">
        <v>1770</v>
      </c>
      <c r="E23" s="10">
        <v>177</v>
      </c>
      <c r="F23" s="10">
        <v>12779</v>
      </c>
      <c r="G23" s="8">
        <f t="shared" si="0"/>
        <v>0.1</v>
      </c>
    </row>
    <row r="24" spans="1:7" ht="18.75" customHeight="1" x14ac:dyDescent="0.3">
      <c r="A24" s="2" t="s">
        <v>14</v>
      </c>
      <c r="B24" s="11" t="s">
        <v>52</v>
      </c>
      <c r="C24" s="9">
        <v>22</v>
      </c>
      <c r="D24" s="9">
        <v>4370</v>
      </c>
      <c r="E24" s="9">
        <v>300</v>
      </c>
      <c r="F24" s="9">
        <v>12909</v>
      </c>
      <c r="G24" s="7">
        <f t="shared" si="0"/>
        <v>6.8649885583524028E-2</v>
      </c>
    </row>
    <row r="25" spans="1:7" ht="18.75" customHeight="1" x14ac:dyDescent="0.3">
      <c r="A25" s="5" t="s">
        <v>14</v>
      </c>
      <c r="B25" s="12" t="s">
        <v>53</v>
      </c>
      <c r="C25" s="10">
        <v>2</v>
      </c>
      <c r="D25" s="10">
        <v>3020</v>
      </c>
      <c r="E25" s="10">
        <v>229</v>
      </c>
      <c r="F25" s="10">
        <v>12914</v>
      </c>
      <c r="G25" s="8">
        <f t="shared" si="0"/>
        <v>7.5827814569536425E-2</v>
      </c>
    </row>
    <row r="26" spans="1:7" ht="18.75" customHeight="1" x14ac:dyDescent="0.3">
      <c r="A26" s="5" t="s">
        <v>15</v>
      </c>
      <c r="B26" s="13" t="s">
        <v>52</v>
      </c>
      <c r="C26" s="10">
        <v>9</v>
      </c>
      <c r="D26" s="10">
        <v>1570</v>
      </c>
      <c r="E26" s="10">
        <v>98</v>
      </c>
      <c r="F26" s="10">
        <v>13122</v>
      </c>
      <c r="G26" s="8">
        <f t="shared" ref="G26:G49" si="1">E26/D26</f>
        <v>6.2420382165605096E-2</v>
      </c>
    </row>
    <row r="27" spans="1:7" ht="18.75" customHeight="1" x14ac:dyDescent="0.3">
      <c r="A27" s="2" t="s">
        <v>15</v>
      </c>
      <c r="B27" s="14" t="s">
        <v>53</v>
      </c>
      <c r="C27" s="9">
        <v>6</v>
      </c>
      <c r="D27" s="9">
        <v>1140</v>
      </c>
      <c r="E27" s="9">
        <v>76</v>
      </c>
      <c r="F27" s="9">
        <v>13080</v>
      </c>
      <c r="G27" s="7">
        <f t="shared" si="1"/>
        <v>6.6666666666666666E-2</v>
      </c>
    </row>
    <row r="28" spans="1:7" ht="18.75" customHeight="1" x14ac:dyDescent="0.3">
      <c r="A28" s="5" t="s">
        <v>16</v>
      </c>
      <c r="B28" s="13" t="s">
        <v>52</v>
      </c>
      <c r="C28" s="10">
        <v>17</v>
      </c>
      <c r="D28" s="10">
        <v>1490</v>
      </c>
      <c r="E28" s="10">
        <v>116</v>
      </c>
      <c r="F28" s="10">
        <v>13251</v>
      </c>
      <c r="G28" s="8">
        <f t="shared" si="1"/>
        <v>7.7852348993288592E-2</v>
      </c>
    </row>
    <row r="29" spans="1:7" ht="18.75" customHeight="1" x14ac:dyDescent="0.3">
      <c r="A29" s="2" t="s">
        <v>16</v>
      </c>
      <c r="B29" s="14" t="s">
        <v>53</v>
      </c>
      <c r="C29" s="9">
        <v>2</v>
      </c>
      <c r="D29" s="9">
        <v>1490</v>
      </c>
      <c r="E29" s="9">
        <v>91</v>
      </c>
      <c r="F29" s="9">
        <v>13218</v>
      </c>
      <c r="G29" s="7">
        <f t="shared" si="1"/>
        <v>6.1073825503355703E-2</v>
      </c>
    </row>
    <row r="30" spans="1:7" ht="18.75" customHeight="1" x14ac:dyDescent="0.3">
      <c r="A30" s="5" t="s">
        <v>17</v>
      </c>
      <c r="B30" s="13" t="s">
        <v>52</v>
      </c>
      <c r="C30" s="10">
        <v>8</v>
      </c>
      <c r="D30" s="10">
        <v>1650</v>
      </c>
      <c r="E30" s="10">
        <v>141</v>
      </c>
      <c r="F30" s="10">
        <v>13297</v>
      </c>
      <c r="G30" s="8">
        <f t="shared" si="1"/>
        <v>8.545454545454545E-2</v>
      </c>
    </row>
    <row r="31" spans="1:7" ht="18.75" customHeight="1" x14ac:dyDescent="0.3">
      <c r="A31" s="2" t="s">
        <v>17</v>
      </c>
      <c r="B31" s="14" t="s">
        <v>53</v>
      </c>
      <c r="C31" s="9">
        <v>2</v>
      </c>
      <c r="D31" s="9">
        <v>1820</v>
      </c>
      <c r="E31" s="9">
        <v>112</v>
      </c>
      <c r="F31" s="9">
        <v>13260</v>
      </c>
      <c r="G31" s="7">
        <f t="shared" si="1"/>
        <v>6.1538461538461542E-2</v>
      </c>
    </row>
    <row r="32" spans="1:7" ht="18.75" customHeight="1" x14ac:dyDescent="0.3">
      <c r="A32" s="5" t="s">
        <v>18</v>
      </c>
      <c r="B32" s="13" t="s">
        <v>52</v>
      </c>
      <c r="C32" s="10">
        <v>9</v>
      </c>
      <c r="D32" s="10">
        <v>1730</v>
      </c>
      <c r="E32" s="10">
        <v>161</v>
      </c>
      <c r="F32" s="10">
        <v>13410</v>
      </c>
      <c r="G32" s="8">
        <f t="shared" si="1"/>
        <v>9.3063583815028897E-2</v>
      </c>
    </row>
    <row r="33" spans="1:7" ht="18.75" customHeight="1" x14ac:dyDescent="0.3">
      <c r="A33" s="2" t="s">
        <v>18</v>
      </c>
      <c r="B33" s="14" t="s">
        <v>53</v>
      </c>
      <c r="C33" s="9">
        <v>4</v>
      </c>
      <c r="D33" s="9">
        <v>1700</v>
      </c>
      <c r="E33" s="9">
        <v>129</v>
      </c>
      <c r="F33" s="9">
        <v>13419</v>
      </c>
      <c r="G33" s="7">
        <f t="shared" si="1"/>
        <v>7.588235294117647E-2</v>
      </c>
    </row>
    <row r="34" spans="1:7" ht="18.75" customHeight="1" x14ac:dyDescent="0.3">
      <c r="A34" s="5" t="s">
        <v>19</v>
      </c>
      <c r="B34" s="13" t="s">
        <v>52</v>
      </c>
      <c r="C34" s="10">
        <v>11</v>
      </c>
      <c r="D34" s="10">
        <v>2190</v>
      </c>
      <c r="E34" s="10">
        <v>183</v>
      </c>
      <c r="F34" s="10">
        <v>13634</v>
      </c>
      <c r="G34" s="8">
        <f t="shared" si="1"/>
        <v>8.3561643835616442E-2</v>
      </c>
    </row>
    <row r="35" spans="1:7" ht="18.75" customHeight="1" x14ac:dyDescent="0.3">
      <c r="A35" s="2" t="s">
        <v>19</v>
      </c>
      <c r="B35" s="14" t="s">
        <v>53</v>
      </c>
      <c r="C35" s="9">
        <v>7</v>
      </c>
      <c r="D35" s="9">
        <v>1940</v>
      </c>
      <c r="E35" s="9">
        <v>149</v>
      </c>
      <c r="F35" s="9">
        <v>13590</v>
      </c>
      <c r="G35" s="7">
        <f t="shared" si="1"/>
        <v>7.6804123711340211E-2</v>
      </c>
    </row>
    <row r="36" spans="1:7" ht="18.75" customHeight="1" x14ac:dyDescent="0.3">
      <c r="A36" s="5" t="s">
        <v>20</v>
      </c>
      <c r="B36" s="13" t="s">
        <v>52</v>
      </c>
      <c r="C36" s="10">
        <v>17</v>
      </c>
      <c r="D36" s="10">
        <v>2220</v>
      </c>
      <c r="E36" s="10">
        <v>215</v>
      </c>
      <c r="F36" s="10">
        <v>13712</v>
      </c>
      <c r="G36" s="8">
        <f t="shared" si="1"/>
        <v>9.6846846846846843E-2</v>
      </c>
    </row>
    <row r="37" spans="1:7" ht="18.75" customHeight="1" x14ac:dyDescent="0.3">
      <c r="A37" s="2" t="s">
        <v>20</v>
      </c>
      <c r="B37" s="14" t="s">
        <v>53</v>
      </c>
      <c r="C37" s="9">
        <v>3</v>
      </c>
      <c r="D37" s="9">
        <v>2250</v>
      </c>
      <c r="E37" s="9">
        <v>177</v>
      </c>
      <c r="F37" s="9">
        <v>13683</v>
      </c>
      <c r="G37" s="7">
        <f t="shared" si="1"/>
        <v>7.8666666666666663E-2</v>
      </c>
    </row>
    <row r="38" spans="1:7" ht="18.75" customHeight="1" x14ac:dyDescent="0.3">
      <c r="A38" s="5" t="s">
        <v>21</v>
      </c>
      <c r="B38" s="13" t="s">
        <v>52</v>
      </c>
      <c r="C38" s="10">
        <v>20</v>
      </c>
      <c r="D38" s="10">
        <v>2100</v>
      </c>
      <c r="E38" s="10">
        <v>187</v>
      </c>
      <c r="F38" s="10">
        <v>13811</v>
      </c>
      <c r="G38" s="8">
        <f t="shared" si="1"/>
        <v>8.9047619047619042E-2</v>
      </c>
    </row>
    <row r="39" spans="1:7" ht="18.75" customHeight="1" x14ac:dyDescent="0.3">
      <c r="A39" s="2" t="s">
        <v>21</v>
      </c>
      <c r="B39" s="14" t="s">
        <v>53</v>
      </c>
      <c r="C39" s="9">
        <v>2</v>
      </c>
      <c r="D39" s="9">
        <v>2220</v>
      </c>
      <c r="E39" s="9">
        <v>156</v>
      </c>
      <c r="F39" s="9">
        <v>13766</v>
      </c>
      <c r="G39" s="7">
        <f t="shared" si="1"/>
        <v>7.0270270270270274E-2</v>
      </c>
    </row>
    <row r="40" spans="1:7" ht="18.75" customHeight="1" x14ac:dyDescent="0.3">
      <c r="A40" s="5" t="s">
        <v>22</v>
      </c>
      <c r="B40" s="13" t="s">
        <v>52</v>
      </c>
      <c r="C40" s="10">
        <v>14</v>
      </c>
      <c r="D40" s="10">
        <v>2950</v>
      </c>
      <c r="E40" s="10">
        <v>162</v>
      </c>
      <c r="F40" s="10">
        <v>14011</v>
      </c>
      <c r="G40" s="8">
        <f t="shared" si="1"/>
        <v>5.4915254237288137E-2</v>
      </c>
    </row>
    <row r="41" spans="1:7" ht="18.75" customHeight="1" x14ac:dyDescent="0.3">
      <c r="A41" s="2" t="s">
        <v>22</v>
      </c>
      <c r="B41" s="14" t="s">
        <v>53</v>
      </c>
      <c r="C41" s="9">
        <v>5</v>
      </c>
      <c r="D41" s="9">
        <v>2010</v>
      </c>
      <c r="E41" s="9">
        <v>136</v>
      </c>
      <c r="F41" s="9">
        <v>14046</v>
      </c>
      <c r="G41" s="7">
        <f t="shared" si="1"/>
        <v>6.7661691542288557E-2</v>
      </c>
    </row>
    <row r="42" spans="1:7" ht="18.75" customHeight="1" x14ac:dyDescent="0.3">
      <c r="A42" s="5" t="s">
        <v>23</v>
      </c>
      <c r="B42" s="13" t="s">
        <v>52</v>
      </c>
      <c r="C42" s="10">
        <v>19</v>
      </c>
      <c r="D42" s="10">
        <v>1910</v>
      </c>
      <c r="E42" s="10">
        <v>140</v>
      </c>
      <c r="F42" s="10">
        <v>14079</v>
      </c>
      <c r="G42" s="8">
        <f t="shared" si="1"/>
        <v>7.3298429319371722E-2</v>
      </c>
    </row>
    <row r="43" spans="1:7" ht="18.75" customHeight="1" x14ac:dyDescent="0.3">
      <c r="A43" s="2" t="s">
        <v>23</v>
      </c>
      <c r="B43" s="14" t="s">
        <v>53</v>
      </c>
      <c r="C43" s="9">
        <v>7</v>
      </c>
      <c r="D43" s="9">
        <v>2260</v>
      </c>
      <c r="E43" s="9">
        <v>119</v>
      </c>
      <c r="F43" s="9">
        <v>14109</v>
      </c>
      <c r="G43" s="7">
        <f t="shared" si="1"/>
        <v>5.2654867256637171E-2</v>
      </c>
    </row>
    <row r="44" spans="1:7" ht="18.75" customHeight="1" x14ac:dyDescent="0.3">
      <c r="A44" s="5" t="s">
        <v>24</v>
      </c>
      <c r="B44" s="13" t="s">
        <v>52</v>
      </c>
      <c r="C44" s="10">
        <v>9</v>
      </c>
      <c r="D44" s="10">
        <v>2190</v>
      </c>
      <c r="E44" s="10">
        <v>217</v>
      </c>
      <c r="F44" s="10">
        <v>14205</v>
      </c>
      <c r="G44" s="8">
        <f t="shared" si="1"/>
        <v>9.908675799086758E-2</v>
      </c>
    </row>
    <row r="45" spans="1:7" ht="18.75" customHeight="1" x14ac:dyDescent="0.3">
      <c r="A45" s="2" t="s">
        <v>24</v>
      </c>
      <c r="B45" s="14" t="s">
        <v>53</v>
      </c>
      <c r="C45" s="9">
        <v>7</v>
      </c>
      <c r="D45" s="9">
        <v>3530</v>
      </c>
      <c r="E45" s="9">
        <v>187</v>
      </c>
      <c r="F45" s="9">
        <v>14212</v>
      </c>
      <c r="G45" s="7">
        <f t="shared" si="1"/>
        <v>5.2974504249291787E-2</v>
      </c>
    </row>
    <row r="46" spans="1:7" ht="18.75" customHeight="1" x14ac:dyDescent="0.3">
      <c r="A46" s="5" t="s">
        <v>25</v>
      </c>
      <c r="B46" s="13" t="s">
        <v>52</v>
      </c>
      <c r="C46" s="10">
        <v>21</v>
      </c>
      <c r="D46" s="10">
        <v>3660</v>
      </c>
      <c r="E46" s="10">
        <v>245</v>
      </c>
      <c r="F46" s="10">
        <v>14407</v>
      </c>
      <c r="G46" s="8">
        <f t="shared" si="1"/>
        <v>6.6939890710382519E-2</v>
      </c>
    </row>
    <row r="47" spans="1:7" ht="18.75" customHeight="1" x14ac:dyDescent="0.3">
      <c r="A47" s="2" t="s">
        <v>25</v>
      </c>
      <c r="B47" s="14" t="s">
        <v>53</v>
      </c>
      <c r="C47" s="9">
        <v>3</v>
      </c>
      <c r="D47" s="9">
        <v>3860</v>
      </c>
      <c r="E47" s="9">
        <v>214</v>
      </c>
      <c r="F47" s="9">
        <v>14394</v>
      </c>
      <c r="G47" s="7">
        <f t="shared" si="1"/>
        <v>5.5440414507772019E-2</v>
      </c>
    </row>
    <row r="48" spans="1:7" ht="18.75" customHeight="1" x14ac:dyDescent="0.3">
      <c r="A48" s="5" t="s">
        <v>26</v>
      </c>
      <c r="B48" s="13" t="s">
        <v>52</v>
      </c>
      <c r="C48" s="10">
        <v>15</v>
      </c>
      <c r="D48" s="10">
        <v>5180</v>
      </c>
      <c r="E48" s="10">
        <v>308</v>
      </c>
      <c r="F48" s="10">
        <v>14516</v>
      </c>
      <c r="G48" s="8">
        <f t="shared" si="1"/>
        <v>5.9459459459459463E-2</v>
      </c>
    </row>
    <row r="49" spans="1:7" ht="18.75" customHeight="1" x14ac:dyDescent="0.3">
      <c r="A49" s="2" t="s">
        <v>26</v>
      </c>
      <c r="B49" s="14" t="s">
        <v>53</v>
      </c>
      <c r="C49" s="9">
        <v>3</v>
      </c>
      <c r="D49" s="9">
        <v>4770</v>
      </c>
      <c r="E49" s="9">
        <v>272</v>
      </c>
      <c r="F49" s="9">
        <v>14518</v>
      </c>
      <c r="G49" s="7">
        <f t="shared" si="1"/>
        <v>5.7023060796645701E-2</v>
      </c>
    </row>
    <row r="50" spans="1:7" ht="18.75" customHeight="1" x14ac:dyDescent="0.3">
      <c r="A50" s="2" t="s">
        <v>27</v>
      </c>
      <c r="B50" s="11" t="s">
        <v>52</v>
      </c>
      <c r="C50" s="9">
        <v>11</v>
      </c>
      <c r="D50" s="9">
        <v>1640</v>
      </c>
      <c r="E50" s="9">
        <v>105</v>
      </c>
      <c r="F50" s="9">
        <v>14533</v>
      </c>
      <c r="G50" s="7">
        <f t="shared" ref="G50:G73" si="2">E50/D50</f>
        <v>6.402439024390244E-2</v>
      </c>
    </row>
    <row r="51" spans="1:7" ht="18.75" customHeight="1" x14ac:dyDescent="0.3">
      <c r="A51" s="5" t="s">
        <v>27</v>
      </c>
      <c r="B51" s="12" t="s">
        <v>53</v>
      </c>
      <c r="C51" s="10">
        <v>2</v>
      </c>
      <c r="D51" s="10">
        <v>990</v>
      </c>
      <c r="E51" s="10">
        <v>93</v>
      </c>
      <c r="F51" s="10">
        <v>14668</v>
      </c>
      <c r="G51" s="8">
        <f t="shared" si="2"/>
        <v>9.3939393939393934E-2</v>
      </c>
    </row>
    <row r="52" spans="1:7" ht="18.75" customHeight="1" x14ac:dyDescent="0.3">
      <c r="A52" s="2" t="s">
        <v>28</v>
      </c>
      <c r="B52" s="11" t="s">
        <v>52</v>
      </c>
      <c r="C52" s="9">
        <v>21</v>
      </c>
      <c r="D52" s="9">
        <v>1700</v>
      </c>
      <c r="E52" s="9">
        <v>123</v>
      </c>
      <c r="F52" s="9">
        <v>14768</v>
      </c>
      <c r="G52" s="7">
        <f t="shared" si="2"/>
        <v>7.2352941176470592E-2</v>
      </c>
    </row>
    <row r="53" spans="1:7" ht="18.75" customHeight="1" x14ac:dyDescent="0.3">
      <c r="A53" s="5" t="s">
        <v>28</v>
      </c>
      <c r="B53" s="12" t="s">
        <v>53</v>
      </c>
      <c r="C53" s="10">
        <v>2</v>
      </c>
      <c r="D53" s="10">
        <v>1200</v>
      </c>
      <c r="E53" s="10">
        <v>111</v>
      </c>
      <c r="F53" s="10">
        <v>14806</v>
      </c>
      <c r="G53" s="8">
        <f t="shared" si="2"/>
        <v>9.2499999999999999E-2</v>
      </c>
    </row>
    <row r="54" spans="1:7" ht="18.75" customHeight="1" x14ac:dyDescent="0.3">
      <c r="A54" s="2" t="s">
        <v>29</v>
      </c>
      <c r="B54" s="11" t="s">
        <v>52</v>
      </c>
      <c r="C54" s="9">
        <v>16</v>
      </c>
      <c r="D54" s="9">
        <v>2820</v>
      </c>
      <c r="E54" s="9">
        <v>148</v>
      </c>
      <c r="F54" s="9">
        <v>14919</v>
      </c>
      <c r="G54" s="7">
        <f t="shared" si="2"/>
        <v>5.2482269503546099E-2</v>
      </c>
    </row>
    <row r="55" spans="1:7" ht="18.75" customHeight="1" x14ac:dyDescent="0.3">
      <c r="A55" s="5" t="s">
        <v>29</v>
      </c>
      <c r="B55" s="12" t="s">
        <v>53</v>
      </c>
      <c r="C55" s="10">
        <v>2</v>
      </c>
      <c r="D55" s="10">
        <v>1480</v>
      </c>
      <c r="E55" s="10">
        <v>136</v>
      </c>
      <c r="F55" s="10">
        <v>14867</v>
      </c>
      <c r="G55" s="8">
        <f t="shared" si="2"/>
        <v>9.1891891891891897E-2</v>
      </c>
    </row>
    <row r="56" spans="1:7" ht="18.75" customHeight="1" x14ac:dyDescent="0.3">
      <c r="A56" s="2" t="s">
        <v>30</v>
      </c>
      <c r="B56" s="11" t="s">
        <v>52</v>
      </c>
      <c r="C56" s="9">
        <v>21</v>
      </c>
      <c r="D56" s="9">
        <v>1790</v>
      </c>
      <c r="E56" s="9">
        <v>172</v>
      </c>
      <c r="F56" s="9">
        <v>15027</v>
      </c>
      <c r="G56" s="7">
        <f t="shared" si="2"/>
        <v>9.6089385474860331E-2</v>
      </c>
    </row>
    <row r="57" spans="1:7" ht="18.75" customHeight="1" x14ac:dyDescent="0.3">
      <c r="A57" s="5" t="s">
        <v>30</v>
      </c>
      <c r="B57" s="12" t="s">
        <v>53</v>
      </c>
      <c r="C57" s="10">
        <v>5</v>
      </c>
      <c r="D57" s="10">
        <v>2590</v>
      </c>
      <c r="E57" s="10">
        <v>160</v>
      </c>
      <c r="F57" s="10">
        <v>14971</v>
      </c>
      <c r="G57" s="8">
        <f t="shared" si="2"/>
        <v>6.1776061776061778E-2</v>
      </c>
    </row>
    <row r="58" spans="1:7" ht="18.75" customHeight="1" x14ac:dyDescent="0.3">
      <c r="A58" s="2" t="s">
        <v>31</v>
      </c>
      <c r="B58" s="11" t="s">
        <v>52</v>
      </c>
      <c r="C58" s="9">
        <v>11</v>
      </c>
      <c r="D58" s="9">
        <v>2690</v>
      </c>
      <c r="E58" s="9">
        <v>200</v>
      </c>
      <c r="F58" s="9">
        <v>15067</v>
      </c>
      <c r="G58" s="7">
        <f t="shared" si="2"/>
        <v>7.434944237918216E-2</v>
      </c>
    </row>
    <row r="59" spans="1:7" ht="18.75" customHeight="1" x14ac:dyDescent="0.3">
      <c r="A59" s="5" t="s">
        <v>31</v>
      </c>
      <c r="B59" s="12" t="s">
        <v>53</v>
      </c>
      <c r="C59" s="10">
        <v>2</v>
      </c>
      <c r="D59" s="10">
        <v>2010</v>
      </c>
      <c r="E59" s="10">
        <v>187</v>
      </c>
      <c r="F59" s="10">
        <v>15115</v>
      </c>
      <c r="G59" s="8">
        <f t="shared" si="2"/>
        <v>9.3034825870646765E-2</v>
      </c>
    </row>
    <row r="60" spans="1:7" ht="18.75" customHeight="1" x14ac:dyDescent="0.3">
      <c r="A60" s="2" t="s">
        <v>32</v>
      </c>
      <c r="B60" s="11" t="s">
        <v>52</v>
      </c>
      <c r="C60" s="9">
        <v>8</v>
      </c>
      <c r="D60" s="9">
        <v>3930</v>
      </c>
      <c r="E60" s="9">
        <v>229</v>
      </c>
      <c r="F60" s="9">
        <v>15278</v>
      </c>
      <c r="G60" s="7">
        <f t="shared" si="2"/>
        <v>5.8269720101781171E-2</v>
      </c>
    </row>
    <row r="61" spans="1:7" ht="18.75" customHeight="1" x14ac:dyDescent="0.3">
      <c r="A61" s="5" t="s">
        <v>32</v>
      </c>
      <c r="B61" s="12" t="s">
        <v>53</v>
      </c>
      <c r="C61" s="10">
        <v>4</v>
      </c>
      <c r="D61" s="10">
        <v>2190</v>
      </c>
      <c r="E61" s="10">
        <v>217</v>
      </c>
      <c r="F61" s="10">
        <v>15306</v>
      </c>
      <c r="G61" s="8">
        <f t="shared" si="2"/>
        <v>9.908675799086758E-2</v>
      </c>
    </row>
    <row r="62" spans="1:7" ht="18.75" customHeight="1" x14ac:dyDescent="0.3">
      <c r="A62" s="2" t="s">
        <v>33</v>
      </c>
      <c r="B62" s="11" t="s">
        <v>52</v>
      </c>
      <c r="C62" s="9">
        <v>20</v>
      </c>
      <c r="D62" s="9">
        <v>2070</v>
      </c>
      <c r="E62" s="9">
        <v>199</v>
      </c>
      <c r="F62" s="9">
        <v>15403</v>
      </c>
      <c r="G62" s="7">
        <f t="shared" si="2"/>
        <v>9.6135265700483086E-2</v>
      </c>
    </row>
    <row r="63" spans="1:7" ht="18.75" customHeight="1" x14ac:dyDescent="0.3">
      <c r="A63" s="5" t="s">
        <v>33</v>
      </c>
      <c r="B63" s="12" t="s">
        <v>53</v>
      </c>
      <c r="C63" s="10">
        <v>5</v>
      </c>
      <c r="D63" s="10">
        <v>2630</v>
      </c>
      <c r="E63" s="10">
        <v>191</v>
      </c>
      <c r="F63" s="10">
        <v>15418</v>
      </c>
      <c r="G63" s="8">
        <f t="shared" si="2"/>
        <v>7.2623574144486697E-2</v>
      </c>
    </row>
    <row r="64" spans="1:7" ht="18.75" customHeight="1" x14ac:dyDescent="0.3">
      <c r="A64" s="2" t="s">
        <v>34</v>
      </c>
      <c r="B64" s="11" t="s">
        <v>52</v>
      </c>
      <c r="C64" s="9">
        <v>19</v>
      </c>
      <c r="D64" s="9">
        <v>2070</v>
      </c>
      <c r="E64" s="9">
        <v>176</v>
      </c>
      <c r="F64" s="9">
        <v>15469</v>
      </c>
      <c r="G64" s="7">
        <f t="shared" si="2"/>
        <v>8.5024154589371986E-2</v>
      </c>
    </row>
    <row r="65" spans="1:7" ht="18.75" customHeight="1" x14ac:dyDescent="0.3">
      <c r="A65" s="5" t="s">
        <v>34</v>
      </c>
      <c r="B65" s="12" t="s">
        <v>53</v>
      </c>
      <c r="C65" s="10">
        <v>6</v>
      </c>
      <c r="D65" s="10">
        <v>1710</v>
      </c>
      <c r="E65" s="10">
        <v>171</v>
      </c>
      <c r="F65" s="10">
        <v>15482</v>
      </c>
      <c r="G65" s="8">
        <f t="shared" si="2"/>
        <v>0.1</v>
      </c>
    </row>
    <row r="66" spans="1:7" ht="18.75" customHeight="1" x14ac:dyDescent="0.3">
      <c r="A66" s="2" t="s">
        <v>35</v>
      </c>
      <c r="B66" s="11" t="s">
        <v>52</v>
      </c>
      <c r="C66" s="9">
        <v>15</v>
      </c>
      <c r="D66" s="9">
        <v>1790</v>
      </c>
      <c r="E66" s="9">
        <v>149</v>
      </c>
      <c r="F66" s="9">
        <v>15661</v>
      </c>
      <c r="G66" s="7">
        <f t="shared" si="2"/>
        <v>8.3240223463687146E-2</v>
      </c>
    </row>
    <row r="67" spans="1:7" ht="18.75" customHeight="1" x14ac:dyDescent="0.3">
      <c r="A67" s="5" t="s">
        <v>35</v>
      </c>
      <c r="B67" s="12" t="s">
        <v>53</v>
      </c>
      <c r="C67" s="10">
        <v>4</v>
      </c>
      <c r="D67" s="10">
        <v>2530</v>
      </c>
      <c r="E67" s="10">
        <v>146</v>
      </c>
      <c r="F67" s="10">
        <v>15729</v>
      </c>
      <c r="G67" s="8">
        <f t="shared" si="2"/>
        <v>5.7707509881422925E-2</v>
      </c>
    </row>
    <row r="68" spans="1:7" ht="18.75" customHeight="1" x14ac:dyDescent="0.3">
      <c r="A68" s="2" t="s">
        <v>36</v>
      </c>
      <c r="B68" s="11" t="s">
        <v>52</v>
      </c>
      <c r="C68" s="9">
        <v>8</v>
      </c>
      <c r="D68" s="9">
        <v>3790</v>
      </c>
      <c r="E68" s="9">
        <v>231</v>
      </c>
      <c r="F68" s="9">
        <v>15789</v>
      </c>
      <c r="G68" s="7">
        <f t="shared" si="2"/>
        <v>6.094986807387863E-2</v>
      </c>
    </row>
    <row r="69" spans="1:7" ht="18.75" customHeight="1" x14ac:dyDescent="0.3">
      <c r="A69" s="5" t="s">
        <v>36</v>
      </c>
      <c r="B69" s="12" t="s">
        <v>53</v>
      </c>
      <c r="C69" s="10">
        <v>6</v>
      </c>
      <c r="D69" s="10">
        <v>2910</v>
      </c>
      <c r="E69" s="10">
        <v>230</v>
      </c>
      <c r="F69" s="10">
        <v>15794</v>
      </c>
      <c r="G69" s="8">
        <f t="shared" si="2"/>
        <v>7.903780068728522E-2</v>
      </c>
    </row>
    <row r="70" spans="1:7" ht="18.75" customHeight="1" x14ac:dyDescent="0.3">
      <c r="A70" s="2" t="s">
        <v>37</v>
      </c>
      <c r="B70" s="11" t="s">
        <v>52</v>
      </c>
      <c r="C70" s="9">
        <v>13</v>
      </c>
      <c r="D70" s="9">
        <v>5030</v>
      </c>
      <c r="E70" s="9">
        <v>267</v>
      </c>
      <c r="F70" s="9">
        <v>15929</v>
      </c>
      <c r="G70" s="7">
        <f t="shared" si="2"/>
        <v>5.3081510934393637E-2</v>
      </c>
    </row>
    <row r="71" spans="1:7" ht="18.75" customHeight="1" x14ac:dyDescent="0.3">
      <c r="A71" s="5" t="s">
        <v>37</v>
      </c>
      <c r="B71" s="12" t="s">
        <v>53</v>
      </c>
      <c r="C71" s="10">
        <v>6</v>
      </c>
      <c r="D71" s="10">
        <v>5110</v>
      </c>
      <c r="E71" s="10">
        <v>270</v>
      </c>
      <c r="F71" s="10">
        <v>15878</v>
      </c>
      <c r="G71" s="8">
        <f t="shared" si="2"/>
        <v>5.2837573385518588E-2</v>
      </c>
    </row>
    <row r="72" spans="1:7" ht="18.75" customHeight="1" x14ac:dyDescent="0.3">
      <c r="A72" s="2" t="s">
        <v>38</v>
      </c>
      <c r="B72" s="11" t="s">
        <v>52</v>
      </c>
      <c r="C72" s="9">
        <v>22</v>
      </c>
      <c r="D72" s="9">
        <v>4550</v>
      </c>
      <c r="E72" s="9">
        <v>336</v>
      </c>
      <c r="F72" s="9">
        <v>15999</v>
      </c>
      <c r="G72" s="7">
        <f t="shared" si="2"/>
        <v>7.3846153846153853E-2</v>
      </c>
    </row>
    <row r="73" spans="1:7" ht="18.75" customHeight="1" x14ac:dyDescent="0.3">
      <c r="A73" s="5" t="s">
        <v>38</v>
      </c>
      <c r="B73" s="12" t="s">
        <v>53</v>
      </c>
      <c r="C73" s="10">
        <v>3</v>
      </c>
      <c r="D73" s="10">
        <v>3700</v>
      </c>
      <c r="E73" s="10">
        <v>343</v>
      </c>
      <c r="F73" s="10">
        <v>15989</v>
      </c>
      <c r="G73" s="8">
        <f t="shared" si="2"/>
        <v>9.27027027027027E-2</v>
      </c>
    </row>
    <row r="74" spans="1:7" ht="18.75" customHeight="1" x14ac:dyDescent="0.3">
      <c r="A74" s="5" t="s">
        <v>39</v>
      </c>
      <c r="B74" s="13" t="s">
        <v>52</v>
      </c>
      <c r="C74" s="10">
        <v>16</v>
      </c>
      <c r="D74" s="10">
        <v>2020</v>
      </c>
      <c r="E74" s="10">
        <v>107</v>
      </c>
      <c r="F74" s="10">
        <v>16185</v>
      </c>
      <c r="G74" s="8">
        <f t="shared" ref="G74:G79" si="3">E74/D74</f>
        <v>5.2970297029702969E-2</v>
      </c>
    </row>
    <row r="75" spans="1:7" ht="18.75" customHeight="1" x14ac:dyDescent="0.3">
      <c r="A75" s="2" t="s">
        <v>39</v>
      </c>
      <c r="B75" s="14" t="s">
        <v>53</v>
      </c>
      <c r="C75" s="9">
        <v>3</v>
      </c>
      <c r="D75" s="9">
        <v>2040</v>
      </c>
      <c r="E75" s="9">
        <v>110</v>
      </c>
      <c r="F75" s="9">
        <v>16256</v>
      </c>
      <c r="G75" s="7">
        <f t="shared" si="3"/>
        <v>5.3921568627450983E-2</v>
      </c>
    </row>
    <row r="76" spans="1:7" ht="18.75" customHeight="1" x14ac:dyDescent="0.3">
      <c r="A76" s="5" t="s">
        <v>40</v>
      </c>
      <c r="B76" s="13" t="s">
        <v>52</v>
      </c>
      <c r="C76" s="10">
        <v>9</v>
      </c>
      <c r="D76" s="10">
        <v>2340</v>
      </c>
      <c r="E76" s="10">
        <v>125</v>
      </c>
      <c r="F76" s="10">
        <v>16352</v>
      </c>
      <c r="G76" s="8">
        <f t="shared" si="3"/>
        <v>5.3418803418803416E-2</v>
      </c>
    </row>
    <row r="77" spans="1:7" ht="18.75" customHeight="1" x14ac:dyDescent="0.3">
      <c r="A77" s="2" t="s">
        <v>40</v>
      </c>
      <c r="B77" s="14" t="s">
        <v>53</v>
      </c>
      <c r="C77" s="9">
        <v>3</v>
      </c>
      <c r="D77" s="9">
        <v>1560</v>
      </c>
      <c r="E77" s="9">
        <v>131</v>
      </c>
      <c r="F77" s="9">
        <v>16305</v>
      </c>
      <c r="G77" s="7">
        <f t="shared" si="3"/>
        <v>8.3974358974358967E-2</v>
      </c>
    </row>
    <row r="78" spans="1:7" ht="18.75" customHeight="1" x14ac:dyDescent="0.3">
      <c r="A78" s="5" t="s">
        <v>41</v>
      </c>
      <c r="B78" s="13" t="s">
        <v>52</v>
      </c>
      <c r="C78" s="10">
        <v>22</v>
      </c>
      <c r="D78" s="10">
        <v>2120</v>
      </c>
      <c r="E78" s="10">
        <v>149</v>
      </c>
      <c r="F78" s="10">
        <v>16439</v>
      </c>
      <c r="G78" s="8">
        <f t="shared" si="3"/>
        <v>7.0283018867924527E-2</v>
      </c>
    </row>
    <row r="79" spans="1:7" ht="18.75" customHeight="1" x14ac:dyDescent="0.3">
      <c r="A79" s="2" t="s">
        <v>41</v>
      </c>
      <c r="B79" s="14" t="s">
        <v>53</v>
      </c>
      <c r="C79" s="9">
        <v>6</v>
      </c>
      <c r="D79" s="9">
        <v>2010</v>
      </c>
      <c r="E79" s="9">
        <v>158</v>
      </c>
      <c r="F79" s="9">
        <v>16396</v>
      </c>
      <c r="G79" s="7">
        <f t="shared" si="3"/>
        <v>7.8606965174129351E-2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3"/>
  <sheetViews>
    <sheetView showGridLines="0" topLeftCell="P1" zoomScaleNormal="100" workbookViewId="0">
      <pane ySplit="1" topLeftCell="A2" activePane="bottomLeft" state="frozen"/>
      <selection pane="bottomLeft" sqref="A1:XFD3"/>
    </sheetView>
  </sheetViews>
  <sheetFormatPr defaultColWidth="8.6640625" defaultRowHeight="14.4" x14ac:dyDescent="0.3"/>
  <cols>
    <col min="1" max="1" width="12" customWidth="1"/>
    <col min="2" max="2" width="14" customWidth="1"/>
    <col min="3" max="4" width="18" customWidth="1"/>
    <col min="5" max="6" width="16" customWidth="1"/>
    <col min="7" max="7" width="20" customWidth="1"/>
    <col min="8" max="8" width="26" customWidth="1"/>
    <col min="9" max="9" width="14" customWidth="1"/>
    <col min="10" max="10" width="12" customWidth="1"/>
    <col min="11" max="11" width="16" customWidth="1"/>
    <col min="12" max="12" width="18" customWidth="1"/>
    <col min="13" max="13" width="14" customWidth="1"/>
    <col min="14" max="14" width="20" customWidth="1"/>
    <col min="15" max="15" width="12" customWidth="1"/>
    <col min="16" max="16" width="30" customWidth="1"/>
    <col min="17" max="18" width="20" customWidth="1"/>
  </cols>
  <sheetData>
    <row r="1" spans="1:18" ht="19.5" customHeight="1" x14ac:dyDescent="0.3">
      <c r="A1" s="1" t="s">
        <v>0</v>
      </c>
      <c r="B1" s="1" t="s">
        <v>47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</row>
    <row r="2" spans="1:18" ht="18.75" customHeight="1" x14ac:dyDescent="0.3">
      <c r="A2" s="15" t="s">
        <v>32</v>
      </c>
      <c r="B2" s="16" t="s">
        <v>70</v>
      </c>
      <c r="C2" s="3">
        <v>41.56</v>
      </c>
      <c r="D2" s="3">
        <v>38.630000000000003</v>
      </c>
      <c r="E2" s="3">
        <v>4.37</v>
      </c>
      <c r="F2" s="9">
        <v>1595</v>
      </c>
      <c r="G2" s="3">
        <v>4.37</v>
      </c>
      <c r="H2" s="9">
        <v>2511</v>
      </c>
      <c r="I2" s="17">
        <v>0.11310000000000001</v>
      </c>
      <c r="J2" s="9">
        <v>174</v>
      </c>
      <c r="K2" s="3">
        <v>3.36</v>
      </c>
      <c r="L2" s="3">
        <v>2</v>
      </c>
      <c r="M2" s="3">
        <v>5.36</v>
      </c>
      <c r="N2" s="9">
        <v>3080</v>
      </c>
      <c r="O2" s="17">
        <v>0.13880000000000001</v>
      </c>
      <c r="P2" s="3">
        <v>9.73</v>
      </c>
      <c r="Q2" s="9">
        <v>5592</v>
      </c>
      <c r="R2" s="17">
        <v>0.25190000000000001</v>
      </c>
    </row>
    <row r="3" spans="1:18" ht="18.75" customHeight="1" x14ac:dyDescent="0.3">
      <c r="A3" s="18" t="s">
        <v>33</v>
      </c>
      <c r="B3" s="16" t="s">
        <v>70</v>
      </c>
      <c r="C3" s="6">
        <v>34.28</v>
      </c>
      <c r="D3" s="6">
        <v>32.130000000000003</v>
      </c>
      <c r="E3" s="6">
        <v>3.23</v>
      </c>
      <c r="F3" s="10">
        <v>1210</v>
      </c>
      <c r="G3" s="6">
        <v>3.23</v>
      </c>
      <c r="H3" s="10">
        <v>5127</v>
      </c>
      <c r="I3" s="19">
        <v>0.10050000000000001</v>
      </c>
      <c r="J3" s="10">
        <v>63</v>
      </c>
      <c r="K3" s="6">
        <v>2.98</v>
      </c>
      <c r="L3" s="6">
        <v>0.99</v>
      </c>
      <c r="M3" s="6">
        <v>3.97</v>
      </c>
      <c r="N3" s="10">
        <v>6302</v>
      </c>
      <c r="O3" s="19">
        <v>0.1236</v>
      </c>
      <c r="P3" s="6">
        <v>7.2</v>
      </c>
      <c r="Q3" s="10">
        <v>11429</v>
      </c>
      <c r="R3" s="19">
        <v>0.22409999999999999</v>
      </c>
    </row>
    <row r="4" spans="1:18" ht="18.75" customHeight="1" x14ac:dyDescent="0.3">
      <c r="A4" s="15" t="s">
        <v>34</v>
      </c>
      <c r="B4" s="16" t="s">
        <v>70</v>
      </c>
      <c r="C4" s="3">
        <v>31.23</v>
      </c>
      <c r="D4" s="3">
        <v>29.36</v>
      </c>
      <c r="E4" s="3">
        <v>2.63</v>
      </c>
      <c r="F4" s="9">
        <v>1338</v>
      </c>
      <c r="G4" s="3">
        <v>2.63</v>
      </c>
      <c r="H4" s="9">
        <v>1511</v>
      </c>
      <c r="I4" s="17">
        <v>8.9599999999999999E-2</v>
      </c>
      <c r="J4" s="9">
        <v>174</v>
      </c>
      <c r="K4" s="3">
        <v>3.12</v>
      </c>
      <c r="L4" s="3">
        <v>0.69</v>
      </c>
      <c r="M4" s="3">
        <v>3.81</v>
      </c>
      <c r="N4" s="9">
        <v>2190</v>
      </c>
      <c r="O4" s="17">
        <v>0.1298</v>
      </c>
      <c r="P4" s="3">
        <v>6.44</v>
      </c>
      <c r="Q4" s="9">
        <v>3701</v>
      </c>
      <c r="R4" s="17">
        <v>0.21929999999999999</v>
      </c>
    </row>
    <row r="5" spans="1:18" ht="18.75" customHeight="1" x14ac:dyDescent="0.3">
      <c r="A5" s="18" t="s">
        <v>35</v>
      </c>
      <c r="B5" s="16" t="s">
        <v>70</v>
      </c>
      <c r="C5" s="6">
        <v>26.45</v>
      </c>
      <c r="D5" s="6">
        <v>23.84</v>
      </c>
      <c r="E5" s="6">
        <v>3.6</v>
      </c>
      <c r="F5" s="10">
        <v>540</v>
      </c>
      <c r="G5" s="6">
        <v>3.6</v>
      </c>
      <c r="H5" s="10">
        <v>3913</v>
      </c>
      <c r="I5" s="19">
        <v>0.151</v>
      </c>
      <c r="J5" s="10">
        <v>92</v>
      </c>
      <c r="K5" s="6">
        <v>1.98</v>
      </c>
      <c r="L5" s="6">
        <v>0.65</v>
      </c>
      <c r="M5" s="6">
        <v>2.63</v>
      </c>
      <c r="N5" s="10">
        <v>2859</v>
      </c>
      <c r="O5" s="19">
        <v>0.1103</v>
      </c>
      <c r="P5" s="6">
        <v>6.23</v>
      </c>
      <c r="Q5" s="10">
        <v>6772</v>
      </c>
      <c r="R5" s="19">
        <v>0.26129999999999998</v>
      </c>
    </row>
    <row r="6" spans="1:18" ht="18.75" customHeight="1" x14ac:dyDescent="0.3">
      <c r="A6" s="15" t="s">
        <v>36</v>
      </c>
      <c r="B6" s="16" t="s">
        <v>70</v>
      </c>
      <c r="C6" s="3">
        <v>46.11</v>
      </c>
      <c r="D6" s="3">
        <v>43.17</v>
      </c>
      <c r="E6" s="3">
        <v>5.38</v>
      </c>
      <c r="F6" s="9">
        <v>2052</v>
      </c>
      <c r="G6" s="3">
        <v>5.38</v>
      </c>
      <c r="H6" s="9">
        <v>3261</v>
      </c>
      <c r="I6" s="17">
        <v>0.1246</v>
      </c>
      <c r="J6" s="9">
        <v>165</v>
      </c>
      <c r="K6" s="3">
        <v>2.78</v>
      </c>
      <c r="L6" s="3">
        <v>2.0499999999999998</v>
      </c>
      <c r="M6" s="3">
        <v>4.83</v>
      </c>
      <c r="N6" s="9">
        <v>2927</v>
      </c>
      <c r="O6" s="17">
        <v>0.1119</v>
      </c>
      <c r="P6" s="3">
        <v>10.210000000000001</v>
      </c>
      <c r="Q6" s="9">
        <v>6188</v>
      </c>
      <c r="R6" s="17">
        <v>0.23649999999999999</v>
      </c>
    </row>
    <row r="7" spans="1:18" ht="18.75" customHeight="1" x14ac:dyDescent="0.3">
      <c r="A7" s="18" t="s">
        <v>37</v>
      </c>
      <c r="B7" s="16" t="s">
        <v>70</v>
      </c>
      <c r="C7" s="6">
        <v>49.53</v>
      </c>
      <c r="D7" s="6">
        <v>46.22</v>
      </c>
      <c r="E7" s="6">
        <v>6.75</v>
      </c>
      <c r="F7" s="10">
        <v>675</v>
      </c>
      <c r="G7" s="6">
        <v>6.75</v>
      </c>
      <c r="H7" s="10">
        <v>6959</v>
      </c>
      <c r="I7" s="19">
        <v>0.14599999999999999</v>
      </c>
      <c r="J7" s="10">
        <v>97</v>
      </c>
      <c r="K7" s="6">
        <v>3.2</v>
      </c>
      <c r="L7" s="6">
        <v>1.1499999999999999</v>
      </c>
      <c r="M7" s="6">
        <v>4.3499999999999996</v>
      </c>
      <c r="N7" s="10">
        <v>4485</v>
      </c>
      <c r="O7" s="19">
        <v>9.4100000000000003E-2</v>
      </c>
      <c r="P7" s="6">
        <v>11.1</v>
      </c>
      <c r="Q7" s="10">
        <v>11443</v>
      </c>
      <c r="R7" s="19">
        <v>0.2402</v>
      </c>
    </row>
    <row r="8" spans="1:18" ht="18.75" customHeight="1" x14ac:dyDescent="0.3">
      <c r="A8" s="15" t="s">
        <v>38</v>
      </c>
      <c r="B8" s="16" t="s">
        <v>70</v>
      </c>
      <c r="C8" s="3">
        <v>65.739999999999995</v>
      </c>
      <c r="D8" s="3">
        <v>59.28</v>
      </c>
      <c r="E8" s="3">
        <v>7.64</v>
      </c>
      <c r="F8" s="9">
        <v>1869</v>
      </c>
      <c r="G8" s="3">
        <v>7.64</v>
      </c>
      <c r="H8" s="9">
        <v>6530</v>
      </c>
      <c r="I8" s="17">
        <v>0.12889999999999999</v>
      </c>
      <c r="J8" s="9">
        <v>117</v>
      </c>
      <c r="K8" s="3">
        <v>4.4800000000000004</v>
      </c>
      <c r="L8" s="3">
        <v>2.57</v>
      </c>
      <c r="M8" s="3">
        <v>7.05</v>
      </c>
      <c r="N8" s="9">
        <v>6026</v>
      </c>
      <c r="O8" s="17">
        <v>0.11890000000000001</v>
      </c>
      <c r="P8" s="3">
        <v>14.69</v>
      </c>
      <c r="Q8" s="9">
        <v>12556</v>
      </c>
      <c r="R8" s="17">
        <v>0.24779999999999999</v>
      </c>
    </row>
    <row r="9" spans="1:18" ht="18.75" customHeight="1" x14ac:dyDescent="0.3">
      <c r="A9" s="18" t="s">
        <v>39</v>
      </c>
      <c r="B9" s="16" t="s">
        <v>70</v>
      </c>
      <c r="C9" s="6">
        <v>20.29</v>
      </c>
      <c r="D9" s="6">
        <v>18.649999999999999</v>
      </c>
      <c r="E9" s="6">
        <v>2.73</v>
      </c>
      <c r="F9" s="10">
        <v>2132</v>
      </c>
      <c r="G9" s="6">
        <v>2.73</v>
      </c>
      <c r="H9" s="10">
        <v>6349</v>
      </c>
      <c r="I9" s="19">
        <v>0.1464</v>
      </c>
      <c r="J9" s="10">
        <v>43</v>
      </c>
      <c r="K9" s="6">
        <v>1.29</v>
      </c>
      <c r="L9" s="6">
        <v>0.66</v>
      </c>
      <c r="M9" s="6">
        <v>1.95</v>
      </c>
      <c r="N9" s="10">
        <v>4535</v>
      </c>
      <c r="O9" s="19">
        <v>0.1046</v>
      </c>
      <c r="P9" s="6">
        <v>4.68</v>
      </c>
      <c r="Q9" s="10">
        <v>10884</v>
      </c>
      <c r="R9" s="19">
        <v>0.25090000000000001</v>
      </c>
    </row>
    <row r="10" spans="1:18" ht="18.75" customHeight="1" x14ac:dyDescent="0.3">
      <c r="A10" s="15" t="s">
        <v>40</v>
      </c>
      <c r="B10" s="16" t="s">
        <v>70</v>
      </c>
      <c r="C10" s="3">
        <v>24.15</v>
      </c>
      <c r="D10" s="3">
        <v>21.26</v>
      </c>
      <c r="E10" s="3">
        <v>3.05</v>
      </c>
      <c r="F10" s="9">
        <v>1704</v>
      </c>
      <c r="G10" s="3">
        <v>3.05</v>
      </c>
      <c r="H10" s="9">
        <v>3144</v>
      </c>
      <c r="I10" s="17">
        <v>0.14349999999999999</v>
      </c>
      <c r="J10" s="9">
        <v>97</v>
      </c>
      <c r="K10" s="3">
        <v>1.61</v>
      </c>
      <c r="L10" s="3">
        <v>0.8</v>
      </c>
      <c r="M10" s="3">
        <v>2.41</v>
      </c>
      <c r="N10" s="9">
        <v>2485</v>
      </c>
      <c r="O10" s="17">
        <v>0.1134</v>
      </c>
      <c r="P10" s="3">
        <v>5.46</v>
      </c>
      <c r="Q10" s="9">
        <v>5629</v>
      </c>
      <c r="R10" s="17">
        <v>0.25679999999999997</v>
      </c>
    </row>
    <row r="11" spans="1:18" ht="18.75" customHeight="1" x14ac:dyDescent="0.3">
      <c r="A11" s="18" t="s">
        <v>32</v>
      </c>
      <c r="B11" s="20" t="s">
        <v>53</v>
      </c>
      <c r="C11" s="6">
        <v>28.68</v>
      </c>
      <c r="D11" s="6">
        <v>26.53</v>
      </c>
      <c r="E11" s="6">
        <v>2.4900000000000002</v>
      </c>
      <c r="F11" s="10">
        <v>1815</v>
      </c>
      <c r="G11" s="6">
        <v>2.4900000000000002</v>
      </c>
      <c r="H11" s="10">
        <v>3662</v>
      </c>
      <c r="I11" s="19">
        <v>9.3899999999999997E-2</v>
      </c>
      <c r="J11" s="10">
        <v>68</v>
      </c>
      <c r="K11" s="6">
        <v>2.35</v>
      </c>
      <c r="L11" s="6">
        <v>1.29</v>
      </c>
      <c r="M11" s="6">
        <v>3.64</v>
      </c>
      <c r="N11" s="10">
        <v>5353</v>
      </c>
      <c r="O11" s="19">
        <v>0.13719999999999999</v>
      </c>
      <c r="P11" s="6">
        <v>6.13</v>
      </c>
      <c r="Q11" s="10">
        <v>9015</v>
      </c>
      <c r="R11" s="19">
        <v>0.2311</v>
      </c>
    </row>
    <row r="12" spans="1:18" ht="18.75" customHeight="1" x14ac:dyDescent="0.3">
      <c r="A12" s="15" t="s">
        <v>33</v>
      </c>
      <c r="B12" s="20" t="s">
        <v>53</v>
      </c>
      <c r="C12" s="3">
        <v>24.54</v>
      </c>
      <c r="D12" s="3">
        <v>21.89</v>
      </c>
      <c r="E12" s="3">
        <v>2.15</v>
      </c>
      <c r="F12" s="9">
        <v>1031</v>
      </c>
      <c r="G12" s="3">
        <v>2.15</v>
      </c>
      <c r="H12" s="9">
        <v>1748</v>
      </c>
      <c r="I12" s="17">
        <v>9.8199999999999996E-2</v>
      </c>
      <c r="J12" s="9">
        <v>123</v>
      </c>
      <c r="K12" s="3">
        <v>2.35</v>
      </c>
      <c r="L12" s="3">
        <v>1.08</v>
      </c>
      <c r="M12" s="3">
        <v>3.43</v>
      </c>
      <c r="N12" s="9">
        <v>2789</v>
      </c>
      <c r="O12" s="17">
        <v>0.15670000000000001</v>
      </c>
      <c r="P12" s="3">
        <v>5.58</v>
      </c>
      <c r="Q12" s="9">
        <v>4537</v>
      </c>
      <c r="R12" s="17">
        <v>0.25490000000000002</v>
      </c>
    </row>
    <row r="13" spans="1:18" ht="18.75" customHeight="1" x14ac:dyDescent="0.3">
      <c r="A13" s="18" t="s">
        <v>34</v>
      </c>
      <c r="B13" s="20" t="s">
        <v>53</v>
      </c>
      <c r="C13" s="6">
        <v>23.42</v>
      </c>
      <c r="D13" s="6">
        <v>22.29</v>
      </c>
      <c r="E13" s="6">
        <v>2.17</v>
      </c>
      <c r="F13" s="10">
        <v>911</v>
      </c>
      <c r="G13" s="6">
        <v>2.17</v>
      </c>
      <c r="H13" s="10">
        <v>3875</v>
      </c>
      <c r="I13" s="19">
        <v>9.74E-2</v>
      </c>
      <c r="J13" s="10">
        <v>56</v>
      </c>
      <c r="K13" s="6">
        <v>1.74</v>
      </c>
      <c r="L13" s="6">
        <v>0.86</v>
      </c>
      <c r="M13" s="6">
        <v>2.6</v>
      </c>
      <c r="N13" s="10">
        <v>4643</v>
      </c>
      <c r="O13" s="19">
        <v>0.1166</v>
      </c>
      <c r="P13" s="6">
        <v>4.7699999999999996</v>
      </c>
      <c r="Q13" s="10">
        <v>8518</v>
      </c>
      <c r="R13" s="19">
        <v>0.214</v>
      </c>
    </row>
    <row r="14" spans="1:18" ht="18.75" customHeight="1" x14ac:dyDescent="0.3">
      <c r="A14" s="15" t="s">
        <v>35</v>
      </c>
      <c r="B14" s="20" t="s">
        <v>53</v>
      </c>
      <c r="C14" s="3">
        <v>20.25</v>
      </c>
      <c r="D14" s="3">
        <v>19.399999999999999</v>
      </c>
      <c r="E14" s="3">
        <v>2.5299999999999998</v>
      </c>
      <c r="F14" s="9">
        <v>884</v>
      </c>
      <c r="G14" s="3">
        <v>2.5299999999999998</v>
      </c>
      <c r="H14" s="9">
        <v>3563</v>
      </c>
      <c r="I14" s="17">
        <v>0.13039999999999999</v>
      </c>
      <c r="J14" s="9">
        <v>71</v>
      </c>
      <c r="K14" s="3">
        <v>2.0099999999999998</v>
      </c>
      <c r="L14" s="3">
        <v>0.9</v>
      </c>
      <c r="M14" s="3">
        <v>2.91</v>
      </c>
      <c r="N14" s="9">
        <v>4099</v>
      </c>
      <c r="O14" s="17">
        <v>0.15</v>
      </c>
      <c r="P14" s="3">
        <v>5.44</v>
      </c>
      <c r="Q14" s="9">
        <v>7662</v>
      </c>
      <c r="R14" s="17">
        <v>0.28039999999999998</v>
      </c>
    </row>
    <row r="15" spans="1:18" ht="18.75" customHeight="1" x14ac:dyDescent="0.3">
      <c r="A15" s="18" t="s">
        <v>36</v>
      </c>
      <c r="B15" s="20" t="s">
        <v>53</v>
      </c>
      <c r="C15" s="6">
        <v>31.9</v>
      </c>
      <c r="D15" s="6">
        <v>28.14</v>
      </c>
      <c r="E15" s="6">
        <v>3.96</v>
      </c>
      <c r="F15" s="10">
        <v>1080</v>
      </c>
      <c r="G15" s="6">
        <v>3.96</v>
      </c>
      <c r="H15" s="10">
        <v>2933</v>
      </c>
      <c r="I15" s="19">
        <v>0.14069999999999999</v>
      </c>
      <c r="J15" s="10">
        <v>135</v>
      </c>
      <c r="K15" s="6">
        <v>2.94</v>
      </c>
      <c r="L15" s="6">
        <v>1.46</v>
      </c>
      <c r="M15" s="6">
        <v>4.4000000000000004</v>
      </c>
      <c r="N15" s="10">
        <v>3259</v>
      </c>
      <c r="O15" s="19">
        <v>0.15640000000000001</v>
      </c>
      <c r="P15" s="6">
        <v>8.36</v>
      </c>
      <c r="Q15" s="10">
        <v>6193</v>
      </c>
      <c r="R15" s="19">
        <v>0.29709999999999998</v>
      </c>
    </row>
    <row r="16" spans="1:18" ht="18.75" customHeight="1" x14ac:dyDescent="0.3">
      <c r="A16" s="15" t="s">
        <v>37</v>
      </c>
      <c r="B16" s="20" t="s">
        <v>53</v>
      </c>
      <c r="C16" s="3">
        <v>36.81</v>
      </c>
      <c r="D16" s="3">
        <v>33.18</v>
      </c>
      <c r="E16" s="3">
        <v>4.68</v>
      </c>
      <c r="F16" s="9">
        <v>621</v>
      </c>
      <c r="G16" s="3">
        <v>4.68</v>
      </c>
      <c r="H16" s="9">
        <v>3685</v>
      </c>
      <c r="I16" s="17">
        <v>0.14099999999999999</v>
      </c>
      <c r="J16" s="9">
        <v>127</v>
      </c>
      <c r="K16" s="3">
        <v>3.49</v>
      </c>
      <c r="L16" s="3">
        <v>1.68</v>
      </c>
      <c r="M16" s="3">
        <v>5.17</v>
      </c>
      <c r="N16" s="9">
        <v>4071</v>
      </c>
      <c r="O16" s="17">
        <v>0.15579999999999999</v>
      </c>
      <c r="P16" s="3">
        <v>9.85</v>
      </c>
      <c r="Q16" s="9">
        <v>7756</v>
      </c>
      <c r="R16" s="17">
        <v>0.2969</v>
      </c>
    </row>
    <row r="17" spans="1:18" ht="18.75" customHeight="1" x14ac:dyDescent="0.3">
      <c r="A17" s="18" t="s">
        <v>38</v>
      </c>
      <c r="B17" s="20" t="s">
        <v>53</v>
      </c>
      <c r="C17" s="6">
        <v>40.43</v>
      </c>
      <c r="D17" s="6">
        <v>38.22</v>
      </c>
      <c r="E17" s="6">
        <v>4.3499999999999996</v>
      </c>
      <c r="F17" s="10">
        <v>1025</v>
      </c>
      <c r="G17" s="6">
        <v>4.3499999999999996</v>
      </c>
      <c r="H17" s="10">
        <v>4943</v>
      </c>
      <c r="I17" s="19">
        <v>0.1138</v>
      </c>
      <c r="J17" s="10">
        <v>88</v>
      </c>
      <c r="K17" s="6">
        <v>2.79</v>
      </c>
      <c r="L17" s="6">
        <v>1.61</v>
      </c>
      <c r="M17" s="6">
        <v>4.4000000000000004</v>
      </c>
      <c r="N17" s="10">
        <v>5000</v>
      </c>
      <c r="O17" s="19">
        <v>0.11509999999999999</v>
      </c>
      <c r="P17" s="6">
        <v>8.75</v>
      </c>
      <c r="Q17" s="10">
        <v>9943</v>
      </c>
      <c r="R17" s="19">
        <v>0.22889999999999999</v>
      </c>
    </row>
    <row r="18" spans="1:18" ht="18.75" customHeight="1" x14ac:dyDescent="0.3">
      <c r="A18" s="15" t="s">
        <v>39</v>
      </c>
      <c r="B18" s="20" t="s">
        <v>53</v>
      </c>
      <c r="C18" s="3">
        <v>13.72</v>
      </c>
      <c r="D18" s="3">
        <v>12.38</v>
      </c>
      <c r="E18" s="3">
        <v>1.1499999999999999</v>
      </c>
      <c r="F18" s="9">
        <v>1983</v>
      </c>
      <c r="G18" s="3">
        <v>1.1499999999999999</v>
      </c>
      <c r="H18" s="9">
        <v>1139</v>
      </c>
      <c r="I18" s="17">
        <v>9.2899999999999996E-2</v>
      </c>
      <c r="J18" s="9">
        <v>101</v>
      </c>
      <c r="K18" s="3">
        <v>1.02</v>
      </c>
      <c r="L18" s="3">
        <v>0.48</v>
      </c>
      <c r="M18" s="3">
        <v>1.5</v>
      </c>
      <c r="N18" s="9">
        <v>1485</v>
      </c>
      <c r="O18" s="17">
        <v>0.1212</v>
      </c>
      <c r="P18" s="3">
        <v>2.65</v>
      </c>
      <c r="Q18" s="9">
        <v>2624</v>
      </c>
      <c r="R18" s="17">
        <v>0.21410000000000001</v>
      </c>
    </row>
    <row r="19" spans="1:18" ht="18.75" customHeight="1" x14ac:dyDescent="0.3">
      <c r="A19" s="18" t="s">
        <v>40</v>
      </c>
      <c r="B19" s="20" t="s">
        <v>53</v>
      </c>
      <c r="C19" s="6">
        <v>17.47</v>
      </c>
      <c r="D19" s="6">
        <v>16.55</v>
      </c>
      <c r="E19" s="6">
        <v>1.74</v>
      </c>
      <c r="F19" s="10">
        <v>456</v>
      </c>
      <c r="G19" s="6">
        <v>1.74</v>
      </c>
      <c r="H19" s="10">
        <v>2949</v>
      </c>
      <c r="I19" s="19">
        <v>0.1051</v>
      </c>
      <c r="J19" s="10">
        <v>59</v>
      </c>
      <c r="K19" s="6">
        <v>1.66</v>
      </c>
      <c r="L19" s="6">
        <v>0.49</v>
      </c>
      <c r="M19" s="6">
        <v>2.15</v>
      </c>
      <c r="N19" s="10">
        <v>3644</v>
      </c>
      <c r="O19" s="19">
        <v>0.12989999999999999</v>
      </c>
      <c r="P19" s="6">
        <v>3.89</v>
      </c>
      <c r="Q19" s="10">
        <v>6593</v>
      </c>
      <c r="R19" s="19">
        <v>0.23499999999999999</v>
      </c>
    </row>
    <row r="20" spans="1:18" ht="18.75" customHeight="1" x14ac:dyDescent="0.3">
      <c r="A20" s="15" t="s">
        <v>32</v>
      </c>
      <c r="B20" s="21" t="s">
        <v>71</v>
      </c>
      <c r="C20" s="3">
        <v>68.2</v>
      </c>
      <c r="D20" s="3">
        <v>63.18</v>
      </c>
      <c r="E20" s="3">
        <v>9.48</v>
      </c>
      <c r="F20" s="9">
        <v>478</v>
      </c>
      <c r="G20" s="3">
        <v>9.48</v>
      </c>
      <c r="H20" s="9">
        <v>16632</v>
      </c>
      <c r="I20" s="17">
        <v>0.15</v>
      </c>
      <c r="J20" s="9">
        <v>57</v>
      </c>
      <c r="K20" s="3">
        <v>5.72</v>
      </c>
      <c r="L20" s="3">
        <v>2.0699999999999998</v>
      </c>
      <c r="M20" s="3">
        <v>7.79</v>
      </c>
      <c r="N20" s="9">
        <v>13667</v>
      </c>
      <c r="O20" s="17">
        <v>0.12330000000000001</v>
      </c>
      <c r="P20" s="3">
        <v>17.27</v>
      </c>
      <c r="Q20" s="9">
        <v>30298</v>
      </c>
      <c r="R20" s="17">
        <v>0.27329999999999999</v>
      </c>
    </row>
    <row r="21" spans="1:18" ht="18.75" customHeight="1" x14ac:dyDescent="0.3">
      <c r="A21" s="18" t="s">
        <v>33</v>
      </c>
      <c r="B21" s="21" t="s">
        <v>71</v>
      </c>
      <c r="C21" s="6">
        <v>60.1</v>
      </c>
      <c r="D21" s="6">
        <v>56.67</v>
      </c>
      <c r="E21" s="6">
        <v>6.38</v>
      </c>
      <c r="F21" s="10">
        <v>1447</v>
      </c>
      <c r="G21" s="6">
        <v>6.38</v>
      </c>
      <c r="H21" s="10">
        <v>10814</v>
      </c>
      <c r="I21" s="19">
        <v>0.11260000000000001</v>
      </c>
      <c r="J21" s="10">
        <v>59</v>
      </c>
      <c r="K21" s="6">
        <v>4.53</v>
      </c>
      <c r="L21" s="6">
        <v>2.2400000000000002</v>
      </c>
      <c r="M21" s="6">
        <v>6.77</v>
      </c>
      <c r="N21" s="10">
        <v>11475</v>
      </c>
      <c r="O21" s="19">
        <v>0.1195</v>
      </c>
      <c r="P21" s="6">
        <v>13.15</v>
      </c>
      <c r="Q21" s="10">
        <v>22288</v>
      </c>
      <c r="R21" s="19">
        <v>0.23200000000000001</v>
      </c>
    </row>
    <row r="22" spans="1:18" ht="18.75" customHeight="1" x14ac:dyDescent="0.3">
      <c r="A22" s="15" t="s">
        <v>34</v>
      </c>
      <c r="B22" s="21" t="s">
        <v>71</v>
      </c>
      <c r="C22" s="3">
        <v>53.7</v>
      </c>
      <c r="D22" s="3">
        <v>48.35</v>
      </c>
      <c r="E22" s="3">
        <v>6.58</v>
      </c>
      <c r="F22" s="9">
        <v>403</v>
      </c>
      <c r="G22" s="3">
        <v>6.58</v>
      </c>
      <c r="H22" s="9">
        <v>4037</v>
      </c>
      <c r="I22" s="17">
        <v>0.1361</v>
      </c>
      <c r="J22" s="9">
        <v>163</v>
      </c>
      <c r="K22" s="3">
        <v>5.21</v>
      </c>
      <c r="L22" s="3">
        <v>1.94</v>
      </c>
      <c r="M22" s="3">
        <v>7.15</v>
      </c>
      <c r="N22" s="9">
        <v>4387</v>
      </c>
      <c r="O22" s="17">
        <v>0.1479</v>
      </c>
      <c r="P22" s="3">
        <v>13.73</v>
      </c>
      <c r="Q22" s="9">
        <v>8423</v>
      </c>
      <c r="R22" s="17">
        <v>0.28399999999999997</v>
      </c>
    </row>
    <row r="23" spans="1:18" ht="18.75" customHeight="1" x14ac:dyDescent="0.3">
      <c r="A23" s="18" t="s">
        <v>35</v>
      </c>
      <c r="B23" s="21" t="s">
        <v>71</v>
      </c>
      <c r="C23" s="6">
        <v>46.3</v>
      </c>
      <c r="D23" s="6">
        <v>43.41</v>
      </c>
      <c r="E23" s="6">
        <v>5.77</v>
      </c>
      <c r="F23" s="10">
        <v>1773</v>
      </c>
      <c r="G23" s="6">
        <v>5.77</v>
      </c>
      <c r="H23" s="10">
        <v>7212</v>
      </c>
      <c r="I23" s="19">
        <v>0.13289999999999999</v>
      </c>
      <c r="J23" s="10">
        <v>80</v>
      </c>
      <c r="K23" s="6">
        <v>3.45</v>
      </c>
      <c r="L23" s="6">
        <v>1.02</v>
      </c>
      <c r="M23" s="6">
        <v>4.47</v>
      </c>
      <c r="N23" s="10">
        <v>5588</v>
      </c>
      <c r="O23" s="19">
        <v>0.10299999999999999</v>
      </c>
      <c r="P23" s="6">
        <v>10.24</v>
      </c>
      <c r="Q23" s="10">
        <v>12800</v>
      </c>
      <c r="R23" s="19">
        <v>0.2359</v>
      </c>
    </row>
    <row r="24" spans="1:18" ht="18.75" customHeight="1" x14ac:dyDescent="0.3">
      <c r="A24" s="15" t="s">
        <v>36</v>
      </c>
      <c r="B24" s="21" t="s">
        <v>71</v>
      </c>
      <c r="C24" s="3">
        <v>72.8</v>
      </c>
      <c r="D24" s="3">
        <v>67.930000000000007</v>
      </c>
      <c r="E24" s="3">
        <v>7.27</v>
      </c>
      <c r="F24" s="9">
        <v>1042</v>
      </c>
      <c r="G24" s="3">
        <v>7.27</v>
      </c>
      <c r="H24" s="9">
        <v>11918</v>
      </c>
      <c r="I24" s="17">
        <v>0.107</v>
      </c>
      <c r="J24" s="9">
        <v>61</v>
      </c>
      <c r="K24" s="3">
        <v>6.46</v>
      </c>
      <c r="L24" s="3">
        <v>2.11</v>
      </c>
      <c r="M24" s="3">
        <v>8.57</v>
      </c>
      <c r="N24" s="9">
        <v>14049</v>
      </c>
      <c r="O24" s="17">
        <v>0.12620000000000001</v>
      </c>
      <c r="P24" s="3">
        <v>15.84</v>
      </c>
      <c r="Q24" s="9">
        <v>25967</v>
      </c>
      <c r="R24" s="17">
        <v>0.23319999999999999</v>
      </c>
    </row>
    <row r="25" spans="1:18" ht="18.75" customHeight="1" x14ac:dyDescent="0.3">
      <c r="A25" s="18" t="s">
        <v>37</v>
      </c>
      <c r="B25" s="21" t="s">
        <v>71</v>
      </c>
      <c r="C25" s="6">
        <v>85.4</v>
      </c>
      <c r="D25" s="6">
        <v>77.27</v>
      </c>
      <c r="E25" s="6">
        <v>8.92</v>
      </c>
      <c r="F25" s="10">
        <v>1224</v>
      </c>
      <c r="G25" s="6">
        <v>8.92</v>
      </c>
      <c r="H25" s="10">
        <v>8495</v>
      </c>
      <c r="I25" s="19">
        <v>0.1154</v>
      </c>
      <c r="J25" s="10">
        <v>105</v>
      </c>
      <c r="K25" s="6">
        <v>7.02</v>
      </c>
      <c r="L25" s="6">
        <v>2.2000000000000002</v>
      </c>
      <c r="M25" s="6">
        <v>9.2200000000000006</v>
      </c>
      <c r="N25" s="10">
        <v>8781</v>
      </c>
      <c r="O25" s="19">
        <v>0.1193</v>
      </c>
      <c r="P25" s="6">
        <v>18.14</v>
      </c>
      <c r="Q25" s="10">
        <v>17276</v>
      </c>
      <c r="R25" s="19">
        <v>0.23480000000000001</v>
      </c>
    </row>
    <row r="26" spans="1:18" ht="18.75" customHeight="1" x14ac:dyDescent="0.3">
      <c r="A26" s="15" t="s">
        <v>38</v>
      </c>
      <c r="B26" s="21" t="s">
        <v>71</v>
      </c>
      <c r="C26" s="3">
        <v>108.6</v>
      </c>
      <c r="D26" s="3">
        <v>101.34</v>
      </c>
      <c r="E26" s="3">
        <v>11.16</v>
      </c>
      <c r="F26" s="9">
        <v>1932</v>
      </c>
      <c r="G26" s="3">
        <v>11.16</v>
      </c>
      <c r="H26" s="9">
        <v>15081</v>
      </c>
      <c r="I26" s="17">
        <v>0.1101</v>
      </c>
      <c r="J26" s="9">
        <v>74</v>
      </c>
      <c r="K26" s="3">
        <v>9.19</v>
      </c>
      <c r="L26" s="3">
        <v>3.15</v>
      </c>
      <c r="M26" s="3">
        <v>12.34</v>
      </c>
      <c r="N26" s="9">
        <v>16676</v>
      </c>
      <c r="O26" s="17">
        <v>0.12180000000000001</v>
      </c>
      <c r="P26" s="3">
        <v>23.5</v>
      </c>
      <c r="Q26" s="9">
        <v>31757</v>
      </c>
      <c r="R26" s="17">
        <v>0.2319</v>
      </c>
    </row>
    <row r="27" spans="1:18" ht="18.75" customHeight="1" x14ac:dyDescent="0.3">
      <c r="A27" s="18" t="s">
        <v>39</v>
      </c>
      <c r="B27" s="21" t="s">
        <v>71</v>
      </c>
      <c r="C27" s="6">
        <v>35.200000000000003</v>
      </c>
      <c r="D27" s="6">
        <v>32.520000000000003</v>
      </c>
      <c r="E27" s="6">
        <v>2.82</v>
      </c>
      <c r="F27" s="10">
        <v>987</v>
      </c>
      <c r="G27" s="6">
        <v>2.82</v>
      </c>
      <c r="H27" s="10">
        <v>3398</v>
      </c>
      <c r="I27" s="19">
        <v>8.6699999999999999E-2</v>
      </c>
      <c r="J27" s="10">
        <v>83</v>
      </c>
      <c r="K27" s="6">
        <v>2.72</v>
      </c>
      <c r="L27" s="6">
        <v>1.32</v>
      </c>
      <c r="M27" s="6">
        <v>4.04</v>
      </c>
      <c r="N27" s="10">
        <v>4867</v>
      </c>
      <c r="O27" s="19">
        <v>0.1242</v>
      </c>
      <c r="P27" s="6">
        <v>6.86</v>
      </c>
      <c r="Q27" s="10">
        <v>8265</v>
      </c>
      <c r="R27" s="19">
        <v>0.2109</v>
      </c>
    </row>
    <row r="28" spans="1:18" ht="18.75" customHeight="1" x14ac:dyDescent="0.3">
      <c r="A28" s="15" t="s">
        <v>40</v>
      </c>
      <c r="B28" s="21" t="s">
        <v>71</v>
      </c>
      <c r="C28" s="3">
        <v>41.8</v>
      </c>
      <c r="D28" s="3">
        <v>38.97</v>
      </c>
      <c r="E28" s="3">
        <v>4.51</v>
      </c>
      <c r="F28" s="9">
        <v>1305</v>
      </c>
      <c r="G28" s="3">
        <v>4.51</v>
      </c>
      <c r="H28" s="9">
        <v>5369</v>
      </c>
      <c r="I28" s="17">
        <v>0.1157</v>
      </c>
      <c r="J28" s="9">
        <v>84</v>
      </c>
      <c r="K28" s="3">
        <v>3.36</v>
      </c>
      <c r="L28" s="3">
        <v>1.83</v>
      </c>
      <c r="M28" s="3">
        <v>5.19</v>
      </c>
      <c r="N28" s="9">
        <v>6179</v>
      </c>
      <c r="O28" s="17">
        <v>0.13320000000000001</v>
      </c>
      <c r="P28" s="3">
        <v>9.6999999999999993</v>
      </c>
      <c r="Q28" s="9">
        <v>11548</v>
      </c>
      <c r="R28" s="17">
        <v>0.24890000000000001</v>
      </c>
    </row>
    <row r="29" spans="1:18" ht="18.75" customHeight="1" x14ac:dyDescent="0.3">
      <c r="A29" s="18" t="s">
        <v>29</v>
      </c>
      <c r="B29" s="21" t="s">
        <v>71</v>
      </c>
      <c r="C29" s="6">
        <v>42.3</v>
      </c>
      <c r="D29" s="6">
        <v>40.47</v>
      </c>
      <c r="E29" s="6">
        <v>5.25</v>
      </c>
      <c r="F29" s="10">
        <v>1749</v>
      </c>
      <c r="G29" s="6">
        <v>5.25</v>
      </c>
      <c r="H29" s="10">
        <v>10294</v>
      </c>
      <c r="I29" s="19">
        <v>0.12970000000000001</v>
      </c>
      <c r="J29" s="10">
        <v>51</v>
      </c>
      <c r="K29" s="6">
        <v>3.02</v>
      </c>
      <c r="L29" s="6">
        <v>1.69</v>
      </c>
      <c r="M29" s="6">
        <v>4.71</v>
      </c>
      <c r="N29" s="10">
        <v>9235</v>
      </c>
      <c r="O29" s="19">
        <v>0.1164</v>
      </c>
      <c r="P29" s="6">
        <v>9.9600000000000009</v>
      </c>
      <c r="Q29" s="10">
        <v>19529</v>
      </c>
      <c r="R29" s="19">
        <v>0.24610000000000001</v>
      </c>
    </row>
    <row r="30" spans="1:18" ht="18.75" customHeight="1" x14ac:dyDescent="0.3">
      <c r="A30" s="15" t="s">
        <v>28</v>
      </c>
      <c r="B30" s="21" t="s">
        <v>71</v>
      </c>
      <c r="C30" s="3">
        <v>34.6</v>
      </c>
      <c r="D30" s="3">
        <v>32.159999999999997</v>
      </c>
      <c r="E30" s="3">
        <v>2.96</v>
      </c>
      <c r="F30" s="9">
        <v>1938</v>
      </c>
      <c r="G30" s="3">
        <v>2.96</v>
      </c>
      <c r="H30" s="9">
        <v>3289</v>
      </c>
      <c r="I30" s="17">
        <v>9.1999999999999998E-2</v>
      </c>
      <c r="J30" s="9">
        <v>90</v>
      </c>
      <c r="K30" s="3">
        <v>3.01</v>
      </c>
      <c r="L30" s="3">
        <v>0.93</v>
      </c>
      <c r="M30" s="3">
        <v>3.94</v>
      </c>
      <c r="N30" s="9">
        <v>4378</v>
      </c>
      <c r="O30" s="17">
        <v>0.1225</v>
      </c>
      <c r="P30" s="3">
        <v>6.9</v>
      </c>
      <c r="Q30" s="9">
        <v>7667</v>
      </c>
      <c r="R30" s="17">
        <v>0.21460000000000001</v>
      </c>
    </row>
    <row r="31" spans="1:18" ht="18.75" customHeight="1" x14ac:dyDescent="0.3">
      <c r="A31" s="18" t="s">
        <v>27</v>
      </c>
      <c r="B31" s="21" t="s">
        <v>71</v>
      </c>
      <c r="C31" s="6">
        <v>28.9</v>
      </c>
      <c r="D31" s="6">
        <v>25.89</v>
      </c>
      <c r="E31" s="6">
        <v>2.35</v>
      </c>
      <c r="F31" s="10">
        <v>901</v>
      </c>
      <c r="G31" s="6">
        <v>2.35</v>
      </c>
      <c r="H31" s="10">
        <v>1556</v>
      </c>
      <c r="I31" s="19">
        <v>9.0800000000000006E-2</v>
      </c>
      <c r="J31" s="10">
        <v>151</v>
      </c>
      <c r="K31" s="6">
        <v>2.44</v>
      </c>
      <c r="L31" s="6">
        <v>1.24</v>
      </c>
      <c r="M31" s="6">
        <v>3.68</v>
      </c>
      <c r="N31" s="10">
        <v>2437</v>
      </c>
      <c r="O31" s="19">
        <v>0.1421</v>
      </c>
      <c r="P31" s="6">
        <v>6.03</v>
      </c>
      <c r="Q31" s="10">
        <v>3993</v>
      </c>
      <c r="R31" s="19">
        <v>0.2329</v>
      </c>
    </row>
    <row r="32" spans="1:18" ht="18.75" customHeight="1" x14ac:dyDescent="0.3">
      <c r="A32" s="15" t="s">
        <v>30</v>
      </c>
      <c r="B32" s="21" t="s">
        <v>71</v>
      </c>
      <c r="C32" s="3">
        <v>49.8</v>
      </c>
      <c r="D32" s="3">
        <v>45.64</v>
      </c>
      <c r="E32" s="3">
        <v>6.63</v>
      </c>
      <c r="F32" s="9">
        <v>1578</v>
      </c>
      <c r="G32" s="3">
        <v>6.63</v>
      </c>
      <c r="H32" s="9">
        <v>8392</v>
      </c>
      <c r="I32" s="17">
        <v>0.14530000000000001</v>
      </c>
      <c r="J32" s="9">
        <v>79</v>
      </c>
      <c r="K32" s="3">
        <v>4.42</v>
      </c>
      <c r="L32" s="3">
        <v>1.57</v>
      </c>
      <c r="M32" s="3">
        <v>5.99</v>
      </c>
      <c r="N32" s="9">
        <v>7582</v>
      </c>
      <c r="O32" s="17">
        <v>0.13120000000000001</v>
      </c>
      <c r="P32" s="3">
        <v>12.62</v>
      </c>
      <c r="Q32" s="9">
        <v>15975</v>
      </c>
      <c r="R32" s="17">
        <v>0.27650000000000002</v>
      </c>
    </row>
    <row r="33" spans="1:18" ht="18.75" customHeight="1" x14ac:dyDescent="0.3">
      <c r="A33" s="18" t="s">
        <v>31</v>
      </c>
      <c r="B33" s="21" t="s">
        <v>71</v>
      </c>
      <c r="C33" s="6">
        <v>58.4</v>
      </c>
      <c r="D33" s="6">
        <v>53.26</v>
      </c>
      <c r="E33" s="6">
        <v>5.19</v>
      </c>
      <c r="F33" s="10">
        <v>1808</v>
      </c>
      <c r="G33" s="6">
        <v>5.19</v>
      </c>
      <c r="H33" s="10">
        <v>16742</v>
      </c>
      <c r="I33" s="19">
        <v>9.74E-2</v>
      </c>
      <c r="J33" s="10">
        <v>31</v>
      </c>
      <c r="K33" s="6">
        <v>5.59</v>
      </c>
      <c r="L33" s="6">
        <v>2.68</v>
      </c>
      <c r="M33" s="6">
        <v>8.27</v>
      </c>
      <c r="N33" s="10">
        <v>26677</v>
      </c>
      <c r="O33" s="19">
        <v>0.15529999999999999</v>
      </c>
      <c r="P33" s="6">
        <v>13.46</v>
      </c>
      <c r="Q33" s="10">
        <v>43419</v>
      </c>
      <c r="R33" s="19">
        <v>0.25269999999999998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7"/>
  <sheetViews>
    <sheetView showGridLines="0" tabSelected="1" zoomScaleNormal="100" workbookViewId="0">
      <pane ySplit="1" topLeftCell="A2" activePane="bottomLeft" state="frozen"/>
      <selection pane="bottomLeft" activeCell="I2" sqref="I2"/>
    </sheetView>
  </sheetViews>
  <sheetFormatPr defaultColWidth="8.6640625" defaultRowHeight="14.4" x14ac:dyDescent="0.3"/>
  <cols>
    <col min="1" max="4" width="12" customWidth="1"/>
    <col min="5" max="5" width="10" customWidth="1"/>
    <col min="6" max="6" width="16" customWidth="1"/>
    <col min="7" max="7" width="12" customWidth="1"/>
    <col min="8" max="8" width="18" customWidth="1"/>
    <col min="9" max="9" width="14" style="29" customWidth="1"/>
    <col min="10" max="10" width="18" customWidth="1"/>
  </cols>
  <sheetData>
    <row r="1" spans="1:10" ht="19.5" customHeight="1" x14ac:dyDescent="0.3">
      <c r="A1" s="1" t="s">
        <v>72</v>
      </c>
      <c r="B1" s="1" t="s">
        <v>0</v>
      </c>
      <c r="C1" s="1" t="s">
        <v>47</v>
      </c>
      <c r="D1" s="1" t="s">
        <v>46</v>
      </c>
      <c r="E1" s="1" t="s">
        <v>49</v>
      </c>
      <c r="F1" s="1" t="s">
        <v>51</v>
      </c>
      <c r="G1" s="1" t="s">
        <v>44</v>
      </c>
      <c r="H1" s="1" t="s">
        <v>54</v>
      </c>
      <c r="I1" s="26" t="s">
        <v>73</v>
      </c>
      <c r="J1" s="1" t="s">
        <v>74</v>
      </c>
    </row>
    <row r="2" spans="1:10" ht="18.75" customHeight="1" x14ac:dyDescent="0.3">
      <c r="A2" s="22" t="s">
        <v>75</v>
      </c>
      <c r="B2" s="15" t="s">
        <v>32</v>
      </c>
      <c r="C2" s="16" t="s">
        <v>70</v>
      </c>
      <c r="D2" s="9">
        <v>189</v>
      </c>
      <c r="E2" s="9">
        <v>20</v>
      </c>
      <c r="F2" s="17">
        <v>0.1045</v>
      </c>
      <c r="G2" s="9">
        <v>16500</v>
      </c>
      <c r="H2" s="3">
        <v>3.3</v>
      </c>
      <c r="I2" s="27">
        <v>0.54</v>
      </c>
      <c r="J2" s="9">
        <v>3300</v>
      </c>
    </row>
    <row r="3" spans="1:10" ht="18.75" customHeight="1" x14ac:dyDescent="0.3">
      <c r="A3" s="22" t="s">
        <v>75</v>
      </c>
      <c r="B3" s="18" t="s">
        <v>32</v>
      </c>
      <c r="C3" s="20" t="s">
        <v>53</v>
      </c>
      <c r="D3" s="10">
        <v>555</v>
      </c>
      <c r="E3" s="10">
        <v>30</v>
      </c>
      <c r="F3" s="19">
        <v>5.3499999999999999E-2</v>
      </c>
      <c r="G3" s="10">
        <v>16500</v>
      </c>
      <c r="H3" s="6">
        <v>4.95</v>
      </c>
      <c r="I3" s="28">
        <v>0.83</v>
      </c>
      <c r="J3" s="10">
        <v>3400</v>
      </c>
    </row>
    <row r="4" spans="1:10" ht="18.75" customHeight="1" x14ac:dyDescent="0.3">
      <c r="A4" s="22" t="s">
        <v>75</v>
      </c>
      <c r="B4" s="15" t="s">
        <v>33</v>
      </c>
      <c r="C4" s="16" t="s">
        <v>70</v>
      </c>
      <c r="D4" s="9">
        <v>547</v>
      </c>
      <c r="E4" s="9">
        <v>32</v>
      </c>
      <c r="F4" s="17">
        <v>5.9299999999999999E-2</v>
      </c>
      <c r="G4" s="9">
        <v>16500</v>
      </c>
      <c r="H4" s="3">
        <v>5.28</v>
      </c>
      <c r="I4" s="27">
        <v>0.75</v>
      </c>
      <c r="J4" s="9">
        <v>3700</v>
      </c>
    </row>
    <row r="5" spans="1:10" ht="18.75" customHeight="1" x14ac:dyDescent="0.3">
      <c r="A5" s="22" t="s">
        <v>75</v>
      </c>
      <c r="B5" s="18" t="s">
        <v>33</v>
      </c>
      <c r="C5" s="20" t="s">
        <v>53</v>
      </c>
      <c r="D5" s="10">
        <v>404</v>
      </c>
      <c r="E5" s="10">
        <v>47</v>
      </c>
      <c r="F5" s="19">
        <v>0.11650000000000001</v>
      </c>
      <c r="G5" s="10">
        <v>16500</v>
      </c>
      <c r="H5" s="6">
        <v>7.75</v>
      </c>
      <c r="I5" s="28">
        <v>1.1499999999999999</v>
      </c>
      <c r="J5" s="10">
        <v>4400</v>
      </c>
    </row>
    <row r="6" spans="1:10" ht="18.75" customHeight="1" x14ac:dyDescent="0.3">
      <c r="A6" s="22" t="s">
        <v>75</v>
      </c>
      <c r="B6" s="15" t="s">
        <v>34</v>
      </c>
      <c r="C6" s="16" t="s">
        <v>70</v>
      </c>
      <c r="D6" s="9">
        <v>596</v>
      </c>
      <c r="E6" s="9">
        <v>48</v>
      </c>
      <c r="F6" s="17">
        <v>7.9899999999999999E-2</v>
      </c>
      <c r="G6" s="9">
        <v>16500</v>
      </c>
      <c r="H6" s="3">
        <v>7.92</v>
      </c>
      <c r="I6" s="27">
        <v>1.07</v>
      </c>
      <c r="J6" s="9">
        <v>4500</v>
      </c>
    </row>
    <row r="7" spans="1:10" ht="18.75" customHeight="1" x14ac:dyDescent="0.3">
      <c r="A7" s="22" t="s">
        <v>75</v>
      </c>
      <c r="B7" s="18" t="s">
        <v>34</v>
      </c>
      <c r="C7" s="20" t="s">
        <v>53</v>
      </c>
      <c r="D7" s="10">
        <v>242</v>
      </c>
      <c r="E7" s="10">
        <v>25</v>
      </c>
      <c r="F7" s="19">
        <v>0.1021</v>
      </c>
      <c r="G7" s="10">
        <v>16500</v>
      </c>
      <c r="H7" s="6">
        <v>4.12</v>
      </c>
      <c r="I7" s="28">
        <v>0.5</v>
      </c>
      <c r="J7" s="10">
        <v>3800</v>
      </c>
    </row>
    <row r="8" spans="1:10" ht="18.75" customHeight="1" x14ac:dyDescent="0.3">
      <c r="A8" s="22" t="s">
        <v>75</v>
      </c>
      <c r="B8" s="15" t="s">
        <v>35</v>
      </c>
      <c r="C8" s="16" t="s">
        <v>70</v>
      </c>
      <c r="D8" s="9">
        <v>333</v>
      </c>
      <c r="E8" s="9">
        <v>36</v>
      </c>
      <c r="F8" s="17">
        <v>0.10879999999999999</v>
      </c>
      <c r="G8" s="9">
        <v>16500</v>
      </c>
      <c r="H8" s="3">
        <v>5.94</v>
      </c>
      <c r="I8" s="27">
        <v>0.96</v>
      </c>
      <c r="J8" s="9">
        <v>3400</v>
      </c>
    </row>
    <row r="9" spans="1:10" ht="18.75" customHeight="1" x14ac:dyDescent="0.3">
      <c r="A9" s="22" t="s">
        <v>75</v>
      </c>
      <c r="B9" s="18" t="s">
        <v>35</v>
      </c>
      <c r="C9" s="20" t="s">
        <v>53</v>
      </c>
      <c r="D9" s="10">
        <v>576</v>
      </c>
      <c r="E9" s="10">
        <v>54</v>
      </c>
      <c r="F9" s="19">
        <v>9.3899999999999997E-2</v>
      </c>
      <c r="G9" s="10">
        <v>16500</v>
      </c>
      <c r="H9" s="6">
        <v>8.91</v>
      </c>
      <c r="I9" s="28">
        <v>0.95</v>
      </c>
      <c r="J9" s="10">
        <v>3400</v>
      </c>
    </row>
    <row r="10" spans="1:10" ht="18.75" customHeight="1" x14ac:dyDescent="0.3">
      <c r="A10" s="22" t="s">
        <v>75</v>
      </c>
      <c r="B10" s="15" t="s">
        <v>36</v>
      </c>
      <c r="C10" s="16" t="s">
        <v>70</v>
      </c>
      <c r="D10" s="9">
        <v>372</v>
      </c>
      <c r="E10" s="9">
        <v>25</v>
      </c>
      <c r="F10" s="17">
        <v>6.6400000000000001E-2</v>
      </c>
      <c r="G10" s="9">
        <v>16500</v>
      </c>
      <c r="H10" s="3">
        <v>4.12</v>
      </c>
      <c r="I10" s="27">
        <v>0.71</v>
      </c>
      <c r="J10" s="9">
        <v>3500</v>
      </c>
    </row>
    <row r="11" spans="1:10" ht="18.75" customHeight="1" x14ac:dyDescent="0.3">
      <c r="A11" s="22" t="s">
        <v>75</v>
      </c>
      <c r="B11" s="18" t="s">
        <v>36</v>
      </c>
      <c r="C11" s="20" t="s">
        <v>53</v>
      </c>
      <c r="D11" s="10">
        <v>162</v>
      </c>
      <c r="E11" s="10">
        <v>10</v>
      </c>
      <c r="F11" s="19">
        <v>5.9700000000000003E-2</v>
      </c>
      <c r="G11" s="10">
        <v>16500</v>
      </c>
      <c r="H11" s="6">
        <v>1.65</v>
      </c>
      <c r="I11" s="28">
        <v>0.26</v>
      </c>
      <c r="J11" s="10">
        <v>3400</v>
      </c>
    </row>
    <row r="12" spans="1:10" ht="18.75" customHeight="1" x14ac:dyDescent="0.3">
      <c r="A12" s="22" t="s">
        <v>75</v>
      </c>
      <c r="B12" s="15" t="s">
        <v>37</v>
      </c>
      <c r="C12" s="16" t="s">
        <v>70</v>
      </c>
      <c r="D12" s="9">
        <v>299</v>
      </c>
      <c r="E12" s="9">
        <v>16</v>
      </c>
      <c r="F12" s="17">
        <v>5.45E-2</v>
      </c>
      <c r="G12" s="9">
        <v>16500</v>
      </c>
      <c r="H12" s="3">
        <v>2.64</v>
      </c>
      <c r="I12" s="27">
        <v>0.38</v>
      </c>
      <c r="J12" s="9">
        <v>3600</v>
      </c>
    </row>
    <row r="13" spans="1:10" ht="18.75" customHeight="1" x14ac:dyDescent="0.3">
      <c r="A13" s="22" t="s">
        <v>75</v>
      </c>
      <c r="B13" s="18" t="s">
        <v>37</v>
      </c>
      <c r="C13" s="20" t="s">
        <v>53</v>
      </c>
      <c r="D13" s="10">
        <v>505</v>
      </c>
      <c r="E13" s="10">
        <v>27</v>
      </c>
      <c r="F13" s="19">
        <v>5.4399999999999997E-2</v>
      </c>
      <c r="G13" s="10">
        <v>16500</v>
      </c>
      <c r="H13" s="6">
        <v>4.46</v>
      </c>
      <c r="I13" s="28">
        <v>0.57999999999999996</v>
      </c>
      <c r="J13" s="10">
        <v>4300</v>
      </c>
    </row>
    <row r="14" spans="1:10" ht="18.75" customHeight="1" x14ac:dyDescent="0.3">
      <c r="A14" s="22" t="s">
        <v>75</v>
      </c>
      <c r="B14" s="15" t="s">
        <v>38</v>
      </c>
      <c r="C14" s="16" t="s">
        <v>70</v>
      </c>
      <c r="D14" s="9">
        <v>100</v>
      </c>
      <c r="E14" s="9">
        <v>11</v>
      </c>
      <c r="F14" s="17">
        <v>0.11</v>
      </c>
      <c r="G14" s="9">
        <v>16500</v>
      </c>
      <c r="H14" s="3">
        <v>1.81</v>
      </c>
      <c r="I14" s="27">
        <v>0.24</v>
      </c>
      <c r="J14" s="9">
        <v>4200</v>
      </c>
    </row>
    <row r="15" spans="1:10" ht="18.75" customHeight="1" x14ac:dyDescent="0.3">
      <c r="A15" s="22" t="s">
        <v>75</v>
      </c>
      <c r="B15" s="18" t="s">
        <v>38</v>
      </c>
      <c r="C15" s="20" t="s">
        <v>53</v>
      </c>
      <c r="D15" s="10">
        <v>86</v>
      </c>
      <c r="E15" s="10">
        <v>10</v>
      </c>
      <c r="F15" s="19">
        <v>0.11600000000000001</v>
      </c>
      <c r="G15" s="10">
        <v>16500</v>
      </c>
      <c r="H15" s="6">
        <v>1.65</v>
      </c>
      <c r="I15" s="28">
        <v>0.22</v>
      </c>
      <c r="J15" s="10">
        <v>3500</v>
      </c>
    </row>
    <row r="16" spans="1:10" ht="18.75" customHeight="1" x14ac:dyDescent="0.3">
      <c r="A16" s="22" t="s">
        <v>75</v>
      </c>
      <c r="B16" s="15" t="s">
        <v>39</v>
      </c>
      <c r="C16" s="16" t="s">
        <v>70</v>
      </c>
      <c r="D16" s="9">
        <v>509</v>
      </c>
      <c r="E16" s="9">
        <v>45</v>
      </c>
      <c r="F16" s="17">
        <v>8.77E-2</v>
      </c>
      <c r="G16" s="9">
        <v>16500</v>
      </c>
      <c r="H16" s="3">
        <v>7.42</v>
      </c>
      <c r="I16" s="27">
        <v>1.22</v>
      </c>
      <c r="J16" s="9">
        <v>4200</v>
      </c>
    </row>
    <row r="17" spans="1:10" ht="18.75" customHeight="1" x14ac:dyDescent="0.3">
      <c r="A17" s="22" t="s">
        <v>75</v>
      </c>
      <c r="B17" s="18" t="s">
        <v>39</v>
      </c>
      <c r="C17" s="20" t="s">
        <v>53</v>
      </c>
      <c r="D17" s="10">
        <v>305</v>
      </c>
      <c r="E17" s="10">
        <v>26</v>
      </c>
      <c r="F17" s="19">
        <v>8.4199999999999997E-2</v>
      </c>
      <c r="G17" s="10">
        <v>16500</v>
      </c>
      <c r="H17" s="6">
        <v>4.29</v>
      </c>
      <c r="I17" s="28">
        <v>0.6</v>
      </c>
      <c r="J17" s="10">
        <v>3400</v>
      </c>
    </row>
    <row r="18" spans="1:10" ht="18.75" customHeight="1" x14ac:dyDescent="0.3">
      <c r="A18" s="22" t="s">
        <v>75</v>
      </c>
      <c r="B18" s="15" t="s">
        <v>40</v>
      </c>
      <c r="C18" s="16" t="s">
        <v>70</v>
      </c>
      <c r="D18" s="9">
        <v>478</v>
      </c>
      <c r="E18" s="9">
        <v>35</v>
      </c>
      <c r="F18" s="17">
        <v>7.3499999999999996E-2</v>
      </c>
      <c r="G18" s="9">
        <v>16500</v>
      </c>
      <c r="H18" s="3">
        <v>5.78</v>
      </c>
      <c r="I18" s="27">
        <v>0.76</v>
      </c>
      <c r="J18" s="9">
        <v>4100</v>
      </c>
    </row>
    <row r="19" spans="1:10" ht="18.75" customHeight="1" x14ac:dyDescent="0.3">
      <c r="A19" s="22" t="s">
        <v>75</v>
      </c>
      <c r="B19" s="18" t="s">
        <v>40</v>
      </c>
      <c r="C19" s="20" t="s">
        <v>53</v>
      </c>
      <c r="D19" s="10">
        <v>249</v>
      </c>
      <c r="E19" s="10">
        <v>27</v>
      </c>
      <c r="F19" s="19">
        <v>0.10879999999999999</v>
      </c>
      <c r="G19" s="10">
        <v>16500</v>
      </c>
      <c r="H19" s="6">
        <v>4.46</v>
      </c>
      <c r="I19" s="28">
        <v>0.8</v>
      </c>
      <c r="J19" s="10">
        <v>4500</v>
      </c>
    </row>
    <row r="20" spans="1:10" ht="18.75" customHeight="1" x14ac:dyDescent="0.3">
      <c r="A20" s="21" t="s">
        <v>76</v>
      </c>
      <c r="B20" s="15" t="s">
        <v>32</v>
      </c>
      <c r="C20" s="16" t="s">
        <v>70</v>
      </c>
      <c r="D20" s="9">
        <v>107</v>
      </c>
      <c r="E20" s="9">
        <v>12</v>
      </c>
      <c r="F20" s="17">
        <v>0.1135</v>
      </c>
      <c r="G20" s="9">
        <v>13000</v>
      </c>
      <c r="H20" s="3">
        <v>1.56</v>
      </c>
      <c r="I20" s="27">
        <v>0.24</v>
      </c>
      <c r="J20" s="9">
        <v>3100</v>
      </c>
    </row>
    <row r="21" spans="1:10" ht="18.75" customHeight="1" x14ac:dyDescent="0.3">
      <c r="A21" s="21" t="s">
        <v>76</v>
      </c>
      <c r="B21" s="18" t="s">
        <v>32</v>
      </c>
      <c r="C21" s="20" t="s">
        <v>53</v>
      </c>
      <c r="D21" s="10">
        <v>165</v>
      </c>
      <c r="E21" s="10">
        <v>16</v>
      </c>
      <c r="F21" s="19">
        <v>9.5000000000000001E-2</v>
      </c>
      <c r="G21" s="10">
        <v>13000</v>
      </c>
      <c r="H21" s="6">
        <v>2.08</v>
      </c>
      <c r="I21" s="28">
        <v>0.28000000000000003</v>
      </c>
      <c r="J21" s="10">
        <v>2500</v>
      </c>
    </row>
    <row r="22" spans="1:10" ht="18.75" customHeight="1" x14ac:dyDescent="0.3">
      <c r="A22" s="21" t="s">
        <v>76</v>
      </c>
      <c r="B22" s="15" t="s">
        <v>33</v>
      </c>
      <c r="C22" s="16" t="s">
        <v>70</v>
      </c>
      <c r="D22" s="9">
        <v>131</v>
      </c>
      <c r="E22" s="9">
        <v>9</v>
      </c>
      <c r="F22" s="17">
        <v>6.8199999999999997E-2</v>
      </c>
      <c r="G22" s="9">
        <v>13000</v>
      </c>
      <c r="H22" s="3">
        <v>1.17</v>
      </c>
      <c r="I22" s="27">
        <v>0.16</v>
      </c>
      <c r="J22" s="9">
        <v>2800</v>
      </c>
    </row>
    <row r="23" spans="1:10" ht="18.75" customHeight="1" x14ac:dyDescent="0.3">
      <c r="A23" s="21" t="s">
        <v>76</v>
      </c>
      <c r="B23" s="18" t="s">
        <v>33</v>
      </c>
      <c r="C23" s="20" t="s">
        <v>53</v>
      </c>
      <c r="D23" s="10">
        <v>425</v>
      </c>
      <c r="E23" s="10">
        <v>44</v>
      </c>
      <c r="F23" s="19">
        <v>0.1033</v>
      </c>
      <c r="G23" s="10">
        <v>13000</v>
      </c>
      <c r="H23" s="6">
        <v>5.72</v>
      </c>
      <c r="I23" s="28">
        <v>0.92</v>
      </c>
      <c r="J23" s="10">
        <v>2800</v>
      </c>
    </row>
    <row r="24" spans="1:10" ht="18.75" customHeight="1" x14ac:dyDescent="0.3">
      <c r="A24" s="21" t="s">
        <v>76</v>
      </c>
      <c r="B24" s="15" t="s">
        <v>34</v>
      </c>
      <c r="C24" s="16" t="s">
        <v>70</v>
      </c>
      <c r="D24" s="9">
        <v>511</v>
      </c>
      <c r="E24" s="9">
        <v>35</v>
      </c>
      <c r="F24" s="17">
        <v>6.7699999999999996E-2</v>
      </c>
      <c r="G24" s="9">
        <v>13000</v>
      </c>
      <c r="H24" s="3">
        <v>4.55</v>
      </c>
      <c r="I24" s="27">
        <v>0.46</v>
      </c>
      <c r="J24" s="9">
        <v>2400</v>
      </c>
    </row>
    <row r="25" spans="1:10" ht="18.75" customHeight="1" x14ac:dyDescent="0.3">
      <c r="A25" s="21" t="s">
        <v>76</v>
      </c>
      <c r="B25" s="18" t="s">
        <v>34</v>
      </c>
      <c r="C25" s="20" t="s">
        <v>53</v>
      </c>
      <c r="D25" s="10">
        <v>133</v>
      </c>
      <c r="E25" s="10">
        <v>16</v>
      </c>
      <c r="F25" s="19">
        <v>0.12</v>
      </c>
      <c r="G25" s="10">
        <v>13000</v>
      </c>
      <c r="H25" s="6">
        <v>2.08</v>
      </c>
      <c r="I25" s="28">
        <v>0.32</v>
      </c>
      <c r="J25" s="10">
        <v>2800</v>
      </c>
    </row>
    <row r="26" spans="1:10" ht="18.75" customHeight="1" x14ac:dyDescent="0.3">
      <c r="A26" s="21" t="s">
        <v>76</v>
      </c>
      <c r="B26" s="15" t="s">
        <v>35</v>
      </c>
      <c r="C26" s="16" t="s">
        <v>70</v>
      </c>
      <c r="D26" s="9">
        <v>121</v>
      </c>
      <c r="E26" s="9">
        <v>12</v>
      </c>
      <c r="F26" s="17">
        <v>0.1028</v>
      </c>
      <c r="G26" s="9">
        <v>13000</v>
      </c>
      <c r="H26" s="3">
        <v>1.56</v>
      </c>
      <c r="I26" s="27">
        <v>0.18</v>
      </c>
      <c r="J26" s="9">
        <v>3600</v>
      </c>
    </row>
    <row r="27" spans="1:10" ht="18.75" customHeight="1" x14ac:dyDescent="0.3">
      <c r="A27" s="21" t="s">
        <v>76</v>
      </c>
      <c r="B27" s="18" t="s">
        <v>35</v>
      </c>
      <c r="C27" s="20" t="s">
        <v>53</v>
      </c>
      <c r="D27" s="10">
        <v>100</v>
      </c>
      <c r="E27" s="10">
        <v>9</v>
      </c>
      <c r="F27" s="19">
        <v>9.35E-2</v>
      </c>
      <c r="G27" s="10">
        <v>13000</v>
      </c>
      <c r="H27" s="6">
        <v>1.17</v>
      </c>
      <c r="I27" s="28">
        <v>0.16</v>
      </c>
      <c r="J27" s="10">
        <v>2700</v>
      </c>
    </row>
    <row r="28" spans="1:10" ht="18.75" customHeight="1" x14ac:dyDescent="0.3">
      <c r="A28" s="21" t="s">
        <v>76</v>
      </c>
      <c r="B28" s="15" t="s">
        <v>36</v>
      </c>
      <c r="C28" s="16" t="s">
        <v>70</v>
      </c>
      <c r="D28" s="9">
        <v>197</v>
      </c>
      <c r="E28" s="9">
        <v>18</v>
      </c>
      <c r="F28" s="17">
        <v>8.9499999999999996E-2</v>
      </c>
      <c r="G28" s="9">
        <v>13000</v>
      </c>
      <c r="H28" s="3">
        <v>2.34</v>
      </c>
      <c r="I28" s="27">
        <v>0.36</v>
      </c>
      <c r="J28" s="9">
        <v>2600</v>
      </c>
    </row>
    <row r="29" spans="1:10" ht="18.75" customHeight="1" x14ac:dyDescent="0.3">
      <c r="A29" s="21" t="s">
        <v>76</v>
      </c>
      <c r="B29" s="18" t="s">
        <v>36</v>
      </c>
      <c r="C29" s="20" t="s">
        <v>53</v>
      </c>
      <c r="D29" s="10">
        <v>457</v>
      </c>
      <c r="E29" s="10">
        <v>28</v>
      </c>
      <c r="F29" s="19">
        <v>6.1699999999999998E-2</v>
      </c>
      <c r="G29" s="10">
        <v>13000</v>
      </c>
      <c r="H29" s="6">
        <v>3.64</v>
      </c>
      <c r="I29" s="28">
        <v>0.57999999999999996</v>
      </c>
      <c r="J29" s="10">
        <v>3100</v>
      </c>
    </row>
    <row r="30" spans="1:10" ht="18.75" customHeight="1" x14ac:dyDescent="0.3">
      <c r="A30" s="21" t="s">
        <v>76</v>
      </c>
      <c r="B30" s="15" t="s">
        <v>37</v>
      </c>
      <c r="C30" s="16" t="s">
        <v>70</v>
      </c>
      <c r="D30" s="9">
        <v>197</v>
      </c>
      <c r="E30" s="9">
        <v>21</v>
      </c>
      <c r="F30" s="17">
        <v>0.10440000000000001</v>
      </c>
      <c r="G30" s="9">
        <v>13000</v>
      </c>
      <c r="H30" s="3">
        <v>2.73</v>
      </c>
      <c r="I30" s="27">
        <v>0.34</v>
      </c>
      <c r="J30" s="9">
        <v>2600</v>
      </c>
    </row>
    <row r="31" spans="1:10" ht="18.75" customHeight="1" x14ac:dyDescent="0.3">
      <c r="A31" s="21" t="s">
        <v>76</v>
      </c>
      <c r="B31" s="18" t="s">
        <v>37</v>
      </c>
      <c r="C31" s="20" t="s">
        <v>53</v>
      </c>
      <c r="D31" s="10">
        <v>106</v>
      </c>
      <c r="E31" s="10">
        <v>12</v>
      </c>
      <c r="F31" s="19">
        <v>0.115</v>
      </c>
      <c r="G31" s="10">
        <v>13000</v>
      </c>
      <c r="H31" s="6">
        <v>1.56</v>
      </c>
      <c r="I31" s="28">
        <v>0.27</v>
      </c>
      <c r="J31" s="10">
        <v>3100</v>
      </c>
    </row>
    <row r="32" spans="1:10" ht="18.75" customHeight="1" x14ac:dyDescent="0.3">
      <c r="A32" s="21" t="s">
        <v>76</v>
      </c>
      <c r="B32" s="15" t="s">
        <v>38</v>
      </c>
      <c r="C32" s="16" t="s">
        <v>70</v>
      </c>
      <c r="D32" s="9">
        <v>464</v>
      </c>
      <c r="E32" s="9">
        <v>36</v>
      </c>
      <c r="F32" s="17">
        <v>7.7799999999999994E-2</v>
      </c>
      <c r="G32" s="9">
        <v>13000</v>
      </c>
      <c r="H32" s="3">
        <v>4.68</v>
      </c>
      <c r="I32" s="27">
        <v>0.5</v>
      </c>
      <c r="J32" s="9">
        <v>3300</v>
      </c>
    </row>
    <row r="33" spans="1:10" ht="18.75" customHeight="1" x14ac:dyDescent="0.3">
      <c r="A33" s="21" t="s">
        <v>76</v>
      </c>
      <c r="B33" s="18" t="s">
        <v>38</v>
      </c>
      <c r="C33" s="20" t="s">
        <v>53</v>
      </c>
      <c r="D33" s="10">
        <v>328</v>
      </c>
      <c r="E33" s="10">
        <v>19</v>
      </c>
      <c r="F33" s="19">
        <v>5.7099999999999998E-2</v>
      </c>
      <c r="G33" s="10">
        <v>13000</v>
      </c>
      <c r="H33" s="6">
        <v>2.4700000000000002</v>
      </c>
      <c r="I33" s="28">
        <v>0.42</v>
      </c>
      <c r="J33" s="10">
        <v>3300</v>
      </c>
    </row>
    <row r="34" spans="1:10" ht="18.75" customHeight="1" x14ac:dyDescent="0.3">
      <c r="A34" s="21" t="s">
        <v>76</v>
      </c>
      <c r="B34" s="15" t="s">
        <v>39</v>
      </c>
      <c r="C34" s="16" t="s">
        <v>70</v>
      </c>
      <c r="D34" s="9">
        <v>203</v>
      </c>
      <c r="E34" s="9">
        <v>21</v>
      </c>
      <c r="F34" s="17">
        <v>0.1057</v>
      </c>
      <c r="G34" s="9">
        <v>13000</v>
      </c>
      <c r="H34" s="3">
        <v>2.73</v>
      </c>
      <c r="I34" s="27">
        <v>0.28000000000000003</v>
      </c>
      <c r="J34" s="9">
        <v>3100</v>
      </c>
    </row>
    <row r="35" spans="1:10" ht="18.75" customHeight="1" x14ac:dyDescent="0.3">
      <c r="A35" s="21" t="s">
        <v>76</v>
      </c>
      <c r="B35" s="18" t="s">
        <v>40</v>
      </c>
      <c r="C35" s="16" t="s">
        <v>70</v>
      </c>
      <c r="D35" s="10">
        <v>518</v>
      </c>
      <c r="E35" s="10">
        <v>50</v>
      </c>
      <c r="F35" s="19">
        <v>9.6299999999999997E-2</v>
      </c>
      <c r="G35" s="10">
        <v>13000</v>
      </c>
      <c r="H35" s="6">
        <v>6.5</v>
      </c>
      <c r="I35" s="28">
        <v>0.99</v>
      </c>
      <c r="J35" s="10">
        <v>2400</v>
      </c>
    </row>
    <row r="36" spans="1:10" ht="18.75" customHeight="1" x14ac:dyDescent="0.3">
      <c r="A36" s="20" t="s">
        <v>77</v>
      </c>
      <c r="B36" s="15" t="s">
        <v>32</v>
      </c>
      <c r="C36" s="16" t="s">
        <v>70</v>
      </c>
      <c r="D36" s="9">
        <v>92</v>
      </c>
      <c r="E36" s="9">
        <v>10</v>
      </c>
      <c r="F36" s="17">
        <v>0.1095</v>
      </c>
      <c r="G36" s="9">
        <v>18000</v>
      </c>
      <c r="H36" s="3">
        <v>1.8</v>
      </c>
      <c r="I36" s="27">
        <v>0.2</v>
      </c>
      <c r="J36" s="9">
        <v>4700</v>
      </c>
    </row>
    <row r="37" spans="1:10" ht="18.75" customHeight="1" x14ac:dyDescent="0.3">
      <c r="A37" s="20" t="s">
        <v>77</v>
      </c>
      <c r="B37" s="18" t="s">
        <v>32</v>
      </c>
      <c r="C37" s="20" t="s">
        <v>53</v>
      </c>
      <c r="D37" s="10">
        <v>450</v>
      </c>
      <c r="E37" s="10">
        <v>43</v>
      </c>
      <c r="F37" s="19">
        <v>9.4500000000000001E-2</v>
      </c>
      <c r="G37" s="10">
        <v>18000</v>
      </c>
      <c r="H37" s="6">
        <v>7.74</v>
      </c>
      <c r="I37" s="28">
        <v>1.21</v>
      </c>
      <c r="J37" s="10">
        <v>4700</v>
      </c>
    </row>
    <row r="38" spans="1:10" ht="18.75" customHeight="1" x14ac:dyDescent="0.3">
      <c r="A38" s="20" t="s">
        <v>77</v>
      </c>
      <c r="B38" s="15" t="s">
        <v>33</v>
      </c>
      <c r="C38" s="16" t="s">
        <v>70</v>
      </c>
      <c r="D38" s="9">
        <v>525</v>
      </c>
      <c r="E38" s="9">
        <v>33</v>
      </c>
      <c r="F38" s="17">
        <v>6.2300000000000001E-2</v>
      </c>
      <c r="G38" s="9">
        <v>18000</v>
      </c>
      <c r="H38" s="3">
        <v>5.94</v>
      </c>
      <c r="I38" s="27">
        <v>0.9</v>
      </c>
      <c r="J38" s="9">
        <v>4200</v>
      </c>
    </row>
    <row r="39" spans="1:10" ht="18.75" customHeight="1" x14ac:dyDescent="0.3">
      <c r="A39" s="20" t="s">
        <v>77</v>
      </c>
      <c r="B39" s="18" t="s">
        <v>33</v>
      </c>
      <c r="C39" s="20" t="s">
        <v>53</v>
      </c>
      <c r="D39" s="10">
        <v>575</v>
      </c>
      <c r="E39" s="10">
        <v>47</v>
      </c>
      <c r="F39" s="19">
        <v>8.2500000000000004E-2</v>
      </c>
      <c r="G39" s="10">
        <v>18000</v>
      </c>
      <c r="H39" s="6">
        <v>8.4600000000000009</v>
      </c>
      <c r="I39" s="28">
        <v>1.25</v>
      </c>
      <c r="J39" s="10">
        <v>4700</v>
      </c>
    </row>
    <row r="40" spans="1:10" ht="18.75" customHeight="1" x14ac:dyDescent="0.3">
      <c r="A40" s="20" t="s">
        <v>77</v>
      </c>
      <c r="B40" s="15" t="s">
        <v>34</v>
      </c>
      <c r="C40" s="16" t="s">
        <v>70</v>
      </c>
      <c r="D40" s="9">
        <v>410</v>
      </c>
      <c r="E40" s="9">
        <v>45</v>
      </c>
      <c r="F40" s="17">
        <v>0.1096</v>
      </c>
      <c r="G40" s="9">
        <v>18000</v>
      </c>
      <c r="H40" s="3">
        <v>8.1</v>
      </c>
      <c r="I40" s="27">
        <v>0.87</v>
      </c>
      <c r="J40" s="9">
        <v>4700</v>
      </c>
    </row>
    <row r="41" spans="1:10" ht="18.75" customHeight="1" x14ac:dyDescent="0.3">
      <c r="A41" s="20" t="s">
        <v>77</v>
      </c>
      <c r="B41" s="18" t="s">
        <v>34</v>
      </c>
      <c r="C41" s="20" t="s">
        <v>53</v>
      </c>
      <c r="D41" s="10">
        <v>541</v>
      </c>
      <c r="E41" s="10">
        <v>36</v>
      </c>
      <c r="F41" s="19">
        <v>6.7100000000000007E-2</v>
      </c>
      <c r="G41" s="10">
        <v>18000</v>
      </c>
      <c r="H41" s="6">
        <v>6.48</v>
      </c>
      <c r="I41" s="28">
        <v>0.96</v>
      </c>
      <c r="J41" s="10">
        <v>4100</v>
      </c>
    </row>
    <row r="42" spans="1:10" ht="18.75" customHeight="1" x14ac:dyDescent="0.3">
      <c r="A42" s="20" t="s">
        <v>77</v>
      </c>
      <c r="B42" s="15" t="s">
        <v>35</v>
      </c>
      <c r="C42" s="16" t="s">
        <v>70</v>
      </c>
      <c r="D42" s="9">
        <v>468</v>
      </c>
      <c r="E42" s="9">
        <v>34</v>
      </c>
      <c r="F42" s="17">
        <v>7.3499999999999996E-2</v>
      </c>
      <c r="G42" s="9">
        <v>18000</v>
      </c>
      <c r="H42" s="3">
        <v>6.12</v>
      </c>
      <c r="I42" s="27">
        <v>0.77</v>
      </c>
      <c r="J42" s="9">
        <v>4100</v>
      </c>
    </row>
    <row r="43" spans="1:10" ht="18.75" customHeight="1" x14ac:dyDescent="0.3">
      <c r="A43" s="20" t="s">
        <v>77</v>
      </c>
      <c r="B43" s="18" t="s">
        <v>35</v>
      </c>
      <c r="C43" s="20" t="s">
        <v>53</v>
      </c>
      <c r="D43" s="10">
        <v>579</v>
      </c>
      <c r="E43" s="10">
        <v>38</v>
      </c>
      <c r="F43" s="19">
        <v>6.4799999999999996E-2</v>
      </c>
      <c r="G43" s="10">
        <v>18000</v>
      </c>
      <c r="H43" s="6">
        <v>6.84</v>
      </c>
      <c r="I43" s="28">
        <v>0.87</v>
      </c>
      <c r="J43" s="10">
        <v>4700</v>
      </c>
    </row>
    <row r="44" spans="1:10" ht="18.75" customHeight="1" x14ac:dyDescent="0.3">
      <c r="A44" s="20" t="s">
        <v>77</v>
      </c>
      <c r="B44" s="15" t="s">
        <v>36</v>
      </c>
      <c r="C44" s="16" t="s">
        <v>70</v>
      </c>
      <c r="D44" s="9">
        <v>362</v>
      </c>
      <c r="E44" s="9">
        <v>32</v>
      </c>
      <c r="F44" s="17">
        <v>8.8900000000000007E-2</v>
      </c>
      <c r="G44" s="9">
        <v>18000</v>
      </c>
      <c r="H44" s="3">
        <v>5.76</v>
      </c>
      <c r="I44" s="27">
        <v>0.66</v>
      </c>
      <c r="J44" s="9">
        <v>4200</v>
      </c>
    </row>
    <row r="45" spans="1:10" ht="18.75" customHeight="1" x14ac:dyDescent="0.3">
      <c r="A45" s="20" t="s">
        <v>77</v>
      </c>
      <c r="B45" s="18" t="s">
        <v>36</v>
      </c>
      <c r="C45" s="20" t="s">
        <v>53</v>
      </c>
      <c r="D45" s="10">
        <v>327</v>
      </c>
      <c r="E45" s="10">
        <v>33</v>
      </c>
      <c r="F45" s="19">
        <v>0.1004</v>
      </c>
      <c r="G45" s="10">
        <v>18000</v>
      </c>
      <c r="H45" s="6">
        <v>5.94</v>
      </c>
      <c r="I45" s="28">
        <v>0.95</v>
      </c>
      <c r="J45" s="10">
        <v>4100</v>
      </c>
    </row>
    <row r="46" spans="1:10" ht="18.75" customHeight="1" x14ac:dyDescent="0.3">
      <c r="A46" s="20" t="s">
        <v>77</v>
      </c>
      <c r="B46" s="15" t="s">
        <v>37</v>
      </c>
      <c r="C46" s="16" t="s">
        <v>70</v>
      </c>
      <c r="D46" s="9">
        <v>567</v>
      </c>
      <c r="E46" s="9">
        <v>54</v>
      </c>
      <c r="F46" s="17">
        <v>9.5200000000000007E-2</v>
      </c>
      <c r="G46" s="9">
        <v>18000</v>
      </c>
      <c r="H46" s="3">
        <v>9.7200000000000006</v>
      </c>
      <c r="I46" s="27">
        <v>1.59</v>
      </c>
      <c r="J46" s="9">
        <v>4100</v>
      </c>
    </row>
    <row r="47" spans="1:10" ht="18.75" customHeight="1" x14ac:dyDescent="0.3">
      <c r="A47" s="20" t="s">
        <v>77</v>
      </c>
      <c r="B47" s="18" t="s">
        <v>37</v>
      </c>
      <c r="C47" s="20" t="s">
        <v>53</v>
      </c>
      <c r="D47" s="10">
        <v>175</v>
      </c>
      <c r="E47" s="10">
        <v>12</v>
      </c>
      <c r="F47" s="19">
        <v>7.0599999999999996E-2</v>
      </c>
      <c r="G47" s="10">
        <v>18000</v>
      </c>
      <c r="H47" s="6">
        <v>2.16</v>
      </c>
      <c r="I47" s="28">
        <v>0.26</v>
      </c>
      <c r="J47" s="10">
        <v>4000</v>
      </c>
    </row>
    <row r="48" spans="1:10" ht="18.75" customHeight="1" x14ac:dyDescent="0.3">
      <c r="A48" s="20" t="s">
        <v>77</v>
      </c>
      <c r="B48" s="15" t="s">
        <v>38</v>
      </c>
      <c r="C48" s="16" t="s">
        <v>70</v>
      </c>
      <c r="D48" s="9">
        <v>457</v>
      </c>
      <c r="E48" s="9">
        <v>38</v>
      </c>
      <c r="F48" s="17">
        <v>8.3099999999999993E-2</v>
      </c>
      <c r="G48" s="9">
        <v>18000</v>
      </c>
      <c r="H48" s="3">
        <v>6.84</v>
      </c>
      <c r="I48" s="27">
        <v>0.92</v>
      </c>
      <c r="J48" s="9">
        <v>4200</v>
      </c>
    </row>
    <row r="49" spans="1:10" ht="18.75" customHeight="1" x14ac:dyDescent="0.3">
      <c r="A49" s="20" t="s">
        <v>77</v>
      </c>
      <c r="B49" s="18" t="s">
        <v>39</v>
      </c>
      <c r="C49" s="16" t="s">
        <v>70</v>
      </c>
      <c r="D49" s="10">
        <v>418</v>
      </c>
      <c r="E49" s="10">
        <v>31</v>
      </c>
      <c r="F49" s="19">
        <v>7.46E-2</v>
      </c>
      <c r="G49" s="10">
        <v>18000</v>
      </c>
      <c r="H49" s="6">
        <v>5.58</v>
      </c>
      <c r="I49" s="28">
        <v>0.69</v>
      </c>
      <c r="J49" s="10">
        <v>4100</v>
      </c>
    </row>
    <row r="50" spans="1:10" ht="18.75" customHeight="1" x14ac:dyDescent="0.3">
      <c r="A50" s="20" t="s">
        <v>77</v>
      </c>
      <c r="B50" s="15" t="s">
        <v>40</v>
      </c>
      <c r="C50" s="16" t="s">
        <v>70</v>
      </c>
      <c r="D50" s="9">
        <v>316</v>
      </c>
      <c r="E50" s="9">
        <v>18</v>
      </c>
      <c r="F50" s="17">
        <v>5.8400000000000001E-2</v>
      </c>
      <c r="G50" s="9">
        <v>18000</v>
      </c>
      <c r="H50" s="3">
        <v>3.24</v>
      </c>
      <c r="I50" s="27">
        <v>0.35</v>
      </c>
      <c r="J50" s="9">
        <v>3600</v>
      </c>
    </row>
    <row r="51" spans="1:10" ht="18.75" customHeight="1" x14ac:dyDescent="0.3">
      <c r="A51" s="16" t="s">
        <v>78</v>
      </c>
      <c r="B51" s="18" t="s">
        <v>32</v>
      </c>
      <c r="C51" s="16" t="s">
        <v>70</v>
      </c>
      <c r="D51" s="10">
        <v>269</v>
      </c>
      <c r="E51" s="10">
        <v>17</v>
      </c>
      <c r="F51" s="19">
        <v>6.3399999999999998E-2</v>
      </c>
      <c r="G51" s="10">
        <v>15500</v>
      </c>
      <c r="H51" s="6">
        <v>2.63</v>
      </c>
      <c r="I51" s="28">
        <v>0.32</v>
      </c>
      <c r="J51" s="10">
        <v>3900</v>
      </c>
    </row>
    <row r="52" spans="1:10" ht="18.75" customHeight="1" x14ac:dyDescent="0.3">
      <c r="A52" s="16" t="s">
        <v>78</v>
      </c>
      <c r="B52" s="15" t="s">
        <v>33</v>
      </c>
      <c r="C52" s="16" t="s">
        <v>70</v>
      </c>
      <c r="D52" s="9">
        <v>369</v>
      </c>
      <c r="E52" s="9">
        <v>44</v>
      </c>
      <c r="F52" s="17">
        <v>0.1186</v>
      </c>
      <c r="G52" s="9">
        <v>15500</v>
      </c>
      <c r="H52" s="3">
        <v>6.82</v>
      </c>
      <c r="I52" s="27">
        <v>0.84</v>
      </c>
      <c r="J52" s="9">
        <v>4100</v>
      </c>
    </row>
    <row r="53" spans="1:10" ht="18.75" customHeight="1" x14ac:dyDescent="0.3">
      <c r="A53" s="16" t="s">
        <v>78</v>
      </c>
      <c r="B53" s="18" t="s">
        <v>34</v>
      </c>
      <c r="C53" s="16" t="s">
        <v>70</v>
      </c>
      <c r="D53" s="10">
        <v>449</v>
      </c>
      <c r="E53" s="10">
        <v>28</v>
      </c>
      <c r="F53" s="19">
        <v>6.2600000000000003E-2</v>
      </c>
      <c r="G53" s="10">
        <v>15500</v>
      </c>
      <c r="H53" s="6">
        <v>4.34</v>
      </c>
      <c r="I53" s="28">
        <v>0.62</v>
      </c>
      <c r="J53" s="10">
        <v>2800</v>
      </c>
    </row>
    <row r="54" spans="1:10" ht="18.75" customHeight="1" x14ac:dyDescent="0.3">
      <c r="A54" s="16" t="s">
        <v>78</v>
      </c>
      <c r="B54" s="15" t="s">
        <v>35</v>
      </c>
      <c r="C54" s="16" t="s">
        <v>70</v>
      </c>
      <c r="D54" s="9">
        <v>360</v>
      </c>
      <c r="E54" s="9">
        <v>19</v>
      </c>
      <c r="F54" s="17">
        <v>5.3199999999999997E-2</v>
      </c>
      <c r="G54" s="9">
        <v>15500</v>
      </c>
      <c r="H54" s="3">
        <v>2.94</v>
      </c>
      <c r="I54" s="27">
        <v>0.36</v>
      </c>
      <c r="J54" s="9">
        <v>2900</v>
      </c>
    </row>
    <row r="55" spans="1:10" ht="18.75" customHeight="1" x14ac:dyDescent="0.3">
      <c r="A55" s="16" t="s">
        <v>78</v>
      </c>
      <c r="B55" s="18" t="s">
        <v>36</v>
      </c>
      <c r="C55" s="16" t="s">
        <v>70</v>
      </c>
      <c r="D55" s="10">
        <v>209</v>
      </c>
      <c r="E55" s="10">
        <v>20</v>
      </c>
      <c r="F55" s="19">
        <v>9.4700000000000006E-2</v>
      </c>
      <c r="G55" s="10">
        <v>15500</v>
      </c>
      <c r="H55" s="6">
        <v>3.1</v>
      </c>
      <c r="I55" s="28">
        <v>0.34</v>
      </c>
      <c r="J55" s="10">
        <v>4000</v>
      </c>
    </row>
    <row r="56" spans="1:10" ht="18.75" customHeight="1" x14ac:dyDescent="0.3">
      <c r="A56" s="16" t="s">
        <v>78</v>
      </c>
      <c r="B56" s="15" t="s">
        <v>36</v>
      </c>
      <c r="C56" s="20" t="s">
        <v>53</v>
      </c>
      <c r="D56" s="9">
        <v>92</v>
      </c>
      <c r="E56" s="9">
        <v>8</v>
      </c>
      <c r="F56" s="17">
        <v>9.0200000000000002E-2</v>
      </c>
      <c r="G56" s="9">
        <v>15500</v>
      </c>
      <c r="H56" s="3">
        <v>1.24</v>
      </c>
      <c r="I56" s="27">
        <v>0.17</v>
      </c>
      <c r="J56" s="9">
        <v>3500</v>
      </c>
    </row>
    <row r="57" spans="1:10" ht="18.75" customHeight="1" x14ac:dyDescent="0.3">
      <c r="A57" s="16" t="s">
        <v>78</v>
      </c>
      <c r="B57" s="18" t="s">
        <v>37</v>
      </c>
      <c r="C57" s="16" t="s">
        <v>70</v>
      </c>
      <c r="D57" s="10">
        <v>268</v>
      </c>
      <c r="E57" s="10">
        <v>32</v>
      </c>
      <c r="F57" s="19">
        <v>0.1176</v>
      </c>
      <c r="G57" s="10">
        <v>15500</v>
      </c>
      <c r="H57" s="6">
        <v>4.96</v>
      </c>
      <c r="I57" s="28">
        <v>0.84</v>
      </c>
      <c r="J57" s="10">
        <v>3200</v>
      </c>
    </row>
    <row r="58" spans="1:10" ht="18.75" customHeight="1" x14ac:dyDescent="0.3">
      <c r="A58" s="16" t="s">
        <v>78</v>
      </c>
      <c r="B58" s="15" t="s">
        <v>37</v>
      </c>
      <c r="C58" s="20" t="s">
        <v>53</v>
      </c>
      <c r="D58" s="9">
        <v>196</v>
      </c>
      <c r="E58" s="9">
        <v>21</v>
      </c>
      <c r="F58" s="17">
        <v>0.1075</v>
      </c>
      <c r="G58" s="9">
        <v>15500</v>
      </c>
      <c r="H58" s="3">
        <v>3.25</v>
      </c>
      <c r="I58" s="27">
        <v>0.34</v>
      </c>
      <c r="J58" s="9">
        <v>3400</v>
      </c>
    </row>
    <row r="59" spans="1:10" ht="18.75" customHeight="1" x14ac:dyDescent="0.3">
      <c r="A59" s="16" t="s">
        <v>78</v>
      </c>
      <c r="B59" s="18" t="s">
        <v>38</v>
      </c>
      <c r="C59" s="16" t="s">
        <v>70</v>
      </c>
      <c r="D59" s="10">
        <v>134</v>
      </c>
      <c r="E59" s="10">
        <v>8</v>
      </c>
      <c r="F59" s="19">
        <v>6.0600000000000001E-2</v>
      </c>
      <c r="G59" s="10">
        <v>15500</v>
      </c>
      <c r="H59" s="6">
        <v>1.24</v>
      </c>
      <c r="I59" s="28">
        <v>0.22</v>
      </c>
      <c r="J59" s="10">
        <v>4000</v>
      </c>
    </row>
    <row r="60" spans="1:10" ht="18.75" customHeight="1" x14ac:dyDescent="0.3">
      <c r="A60" s="16" t="s">
        <v>78</v>
      </c>
      <c r="B60" s="15" t="s">
        <v>38</v>
      </c>
      <c r="C60" s="20" t="s">
        <v>53</v>
      </c>
      <c r="D60" s="9">
        <v>167</v>
      </c>
      <c r="E60" s="9">
        <v>20</v>
      </c>
      <c r="F60" s="17">
        <v>0.1196</v>
      </c>
      <c r="G60" s="9">
        <v>15500</v>
      </c>
      <c r="H60" s="3">
        <v>3.1</v>
      </c>
      <c r="I60" s="27">
        <v>0.5</v>
      </c>
      <c r="J60" s="9">
        <v>3000</v>
      </c>
    </row>
    <row r="61" spans="1:10" ht="18.75" customHeight="1" x14ac:dyDescent="0.3">
      <c r="A61" s="16" t="s">
        <v>78</v>
      </c>
      <c r="B61" s="18" t="s">
        <v>39</v>
      </c>
      <c r="C61" s="16" t="s">
        <v>70</v>
      </c>
      <c r="D61" s="10">
        <v>311</v>
      </c>
      <c r="E61" s="10">
        <v>32</v>
      </c>
      <c r="F61" s="19">
        <v>0.1043</v>
      </c>
      <c r="G61" s="10">
        <v>15500</v>
      </c>
      <c r="H61" s="6">
        <v>4.96</v>
      </c>
      <c r="I61" s="28">
        <v>0.86</v>
      </c>
      <c r="J61" s="10">
        <v>3400</v>
      </c>
    </row>
    <row r="62" spans="1:10" ht="18.75" customHeight="1" x14ac:dyDescent="0.3">
      <c r="A62" s="16" t="s">
        <v>78</v>
      </c>
      <c r="B62" s="15" t="s">
        <v>39</v>
      </c>
      <c r="C62" s="20" t="s">
        <v>53</v>
      </c>
      <c r="D62" s="9">
        <v>384</v>
      </c>
      <c r="E62" s="9">
        <v>42</v>
      </c>
      <c r="F62" s="17">
        <v>0.11020000000000001</v>
      </c>
      <c r="G62" s="9">
        <v>15500</v>
      </c>
      <c r="H62" s="3">
        <v>6.51</v>
      </c>
      <c r="I62" s="27">
        <v>0.81</v>
      </c>
      <c r="J62" s="9">
        <v>4300</v>
      </c>
    </row>
    <row r="63" spans="1:10" ht="18.75" customHeight="1" x14ac:dyDescent="0.3">
      <c r="A63" s="16" t="s">
        <v>78</v>
      </c>
      <c r="B63" s="18" t="s">
        <v>40</v>
      </c>
      <c r="C63" s="16" t="s">
        <v>70</v>
      </c>
      <c r="D63" s="10">
        <v>141</v>
      </c>
      <c r="E63" s="10">
        <v>13</v>
      </c>
      <c r="F63" s="19">
        <v>9.2700000000000005E-2</v>
      </c>
      <c r="G63" s="10">
        <v>15500</v>
      </c>
      <c r="H63" s="6">
        <v>2.02</v>
      </c>
      <c r="I63" s="28">
        <v>0.36</v>
      </c>
      <c r="J63" s="10">
        <v>3900</v>
      </c>
    </row>
    <row r="64" spans="1:10" ht="18.75" customHeight="1" x14ac:dyDescent="0.3">
      <c r="A64" s="16" t="s">
        <v>78</v>
      </c>
      <c r="B64" s="15" t="s">
        <v>40</v>
      </c>
      <c r="C64" s="20" t="s">
        <v>53</v>
      </c>
      <c r="D64" s="9">
        <v>292</v>
      </c>
      <c r="E64" s="9">
        <v>27</v>
      </c>
      <c r="F64" s="17">
        <v>9.3799999999999994E-2</v>
      </c>
      <c r="G64" s="9">
        <v>15500</v>
      </c>
      <c r="H64" s="3">
        <v>4.18</v>
      </c>
      <c r="I64" s="27">
        <v>0.45</v>
      </c>
      <c r="J64" s="9">
        <v>3200</v>
      </c>
    </row>
    <row r="65" spans="1:10" ht="18.75" customHeight="1" x14ac:dyDescent="0.3">
      <c r="A65" s="23" t="s">
        <v>79</v>
      </c>
      <c r="B65" s="18" t="s">
        <v>32</v>
      </c>
      <c r="C65" s="16" t="s">
        <v>70</v>
      </c>
      <c r="D65" s="10">
        <v>325</v>
      </c>
      <c r="E65" s="10">
        <v>20</v>
      </c>
      <c r="F65" s="19">
        <v>6.2199999999999998E-2</v>
      </c>
      <c r="G65" s="10">
        <v>12500</v>
      </c>
      <c r="H65" s="6">
        <v>2.5</v>
      </c>
      <c r="I65" s="28">
        <v>0.25</v>
      </c>
      <c r="J65" s="10">
        <v>2300</v>
      </c>
    </row>
    <row r="66" spans="1:10" ht="18.75" customHeight="1" x14ac:dyDescent="0.3">
      <c r="A66" s="23" t="s">
        <v>79</v>
      </c>
      <c r="B66" s="15" t="s">
        <v>33</v>
      </c>
      <c r="C66" s="16" t="s">
        <v>70</v>
      </c>
      <c r="D66" s="9">
        <v>541</v>
      </c>
      <c r="E66" s="9">
        <v>53</v>
      </c>
      <c r="F66" s="17">
        <v>9.8299999999999998E-2</v>
      </c>
      <c r="G66" s="9">
        <v>12500</v>
      </c>
      <c r="H66" s="3">
        <v>6.62</v>
      </c>
      <c r="I66" s="27">
        <v>0.68</v>
      </c>
      <c r="J66" s="9">
        <v>2800</v>
      </c>
    </row>
    <row r="67" spans="1:10" ht="18.75" customHeight="1" x14ac:dyDescent="0.3">
      <c r="A67" s="23" t="s">
        <v>79</v>
      </c>
      <c r="B67" s="18" t="s">
        <v>34</v>
      </c>
      <c r="C67" s="16" t="s">
        <v>70</v>
      </c>
      <c r="D67" s="10">
        <v>375</v>
      </c>
      <c r="E67" s="10">
        <v>37</v>
      </c>
      <c r="F67" s="19">
        <v>9.9500000000000005E-2</v>
      </c>
      <c r="G67" s="10">
        <v>12500</v>
      </c>
      <c r="H67" s="6">
        <v>4.62</v>
      </c>
      <c r="I67" s="28">
        <v>0.63</v>
      </c>
      <c r="J67" s="10">
        <v>3100</v>
      </c>
    </row>
    <row r="68" spans="1:10" ht="18.75" customHeight="1" x14ac:dyDescent="0.3">
      <c r="A68" s="23" t="s">
        <v>79</v>
      </c>
      <c r="B68" s="15" t="s">
        <v>35</v>
      </c>
      <c r="C68" s="16" t="s">
        <v>70</v>
      </c>
      <c r="D68" s="9">
        <v>319</v>
      </c>
      <c r="E68" s="9">
        <v>37</v>
      </c>
      <c r="F68" s="17">
        <v>0.1147</v>
      </c>
      <c r="G68" s="9">
        <v>12500</v>
      </c>
      <c r="H68" s="3">
        <v>4.62</v>
      </c>
      <c r="I68" s="27">
        <v>0.69</v>
      </c>
      <c r="J68" s="9">
        <v>3200</v>
      </c>
    </row>
    <row r="69" spans="1:10" ht="18.75" customHeight="1" x14ac:dyDescent="0.3">
      <c r="A69" s="23" t="s">
        <v>79</v>
      </c>
      <c r="B69" s="18" t="s">
        <v>36</v>
      </c>
      <c r="C69" s="16" t="s">
        <v>70</v>
      </c>
      <c r="D69" s="10">
        <v>282</v>
      </c>
      <c r="E69" s="10">
        <v>23</v>
      </c>
      <c r="F69" s="19">
        <v>7.9799999999999996E-2</v>
      </c>
      <c r="G69" s="10">
        <v>12500</v>
      </c>
      <c r="H69" s="6">
        <v>2.88</v>
      </c>
      <c r="I69" s="28">
        <v>0.44</v>
      </c>
      <c r="J69" s="10">
        <v>2900</v>
      </c>
    </row>
    <row r="70" spans="1:10" ht="18.75" customHeight="1" x14ac:dyDescent="0.3">
      <c r="A70" s="23" t="s">
        <v>79</v>
      </c>
      <c r="B70" s="15" t="s">
        <v>37</v>
      </c>
      <c r="C70" s="16" t="s">
        <v>70</v>
      </c>
      <c r="D70" s="9">
        <v>352</v>
      </c>
      <c r="E70" s="9">
        <v>38</v>
      </c>
      <c r="F70" s="17">
        <v>0.1079</v>
      </c>
      <c r="G70" s="9">
        <v>12500</v>
      </c>
      <c r="H70" s="3">
        <v>4.75</v>
      </c>
      <c r="I70" s="27">
        <v>0.54</v>
      </c>
      <c r="J70" s="9">
        <v>2300</v>
      </c>
    </row>
    <row r="71" spans="1:10" ht="18.75" customHeight="1" x14ac:dyDescent="0.3">
      <c r="A71" s="23" t="s">
        <v>79</v>
      </c>
      <c r="B71" s="18" t="s">
        <v>38</v>
      </c>
      <c r="C71" s="16" t="s">
        <v>70</v>
      </c>
      <c r="D71" s="10">
        <v>394</v>
      </c>
      <c r="E71" s="10">
        <v>36</v>
      </c>
      <c r="F71" s="19">
        <v>9.1700000000000004E-2</v>
      </c>
      <c r="G71" s="10">
        <v>12500</v>
      </c>
      <c r="H71" s="6">
        <v>4.5</v>
      </c>
      <c r="I71" s="28">
        <v>0.78</v>
      </c>
      <c r="J71" s="10">
        <v>3300</v>
      </c>
    </row>
    <row r="72" spans="1:10" ht="18.75" customHeight="1" x14ac:dyDescent="0.3">
      <c r="A72" s="23" t="s">
        <v>79</v>
      </c>
      <c r="B72" s="15" t="s">
        <v>39</v>
      </c>
      <c r="C72" s="16" t="s">
        <v>70</v>
      </c>
      <c r="D72" s="9">
        <v>529</v>
      </c>
      <c r="E72" s="9">
        <v>31</v>
      </c>
      <c r="F72" s="17">
        <v>5.8700000000000002E-2</v>
      </c>
      <c r="G72" s="9">
        <v>12500</v>
      </c>
      <c r="H72" s="3">
        <v>3.88</v>
      </c>
      <c r="I72" s="27">
        <v>0.61</v>
      </c>
      <c r="J72" s="9">
        <v>3100</v>
      </c>
    </row>
    <row r="73" spans="1:10" ht="18.75" customHeight="1" x14ac:dyDescent="0.3">
      <c r="A73" s="23" t="s">
        <v>79</v>
      </c>
      <c r="B73" s="18" t="s">
        <v>40</v>
      </c>
      <c r="C73" s="16" t="s">
        <v>70</v>
      </c>
      <c r="D73" s="10">
        <v>358</v>
      </c>
      <c r="E73" s="10">
        <v>30</v>
      </c>
      <c r="F73" s="19">
        <v>8.5000000000000006E-2</v>
      </c>
      <c r="G73" s="10">
        <v>12500</v>
      </c>
      <c r="H73" s="6">
        <v>3.75</v>
      </c>
      <c r="I73" s="28">
        <v>0.4</v>
      </c>
      <c r="J73" s="10">
        <v>2900</v>
      </c>
    </row>
    <row r="74" spans="1:10" ht="18.75" customHeight="1" x14ac:dyDescent="0.3">
      <c r="A74" s="24" t="s">
        <v>80</v>
      </c>
      <c r="B74" s="15" t="s">
        <v>33</v>
      </c>
      <c r="C74" s="16" t="s">
        <v>70</v>
      </c>
      <c r="D74" s="9">
        <v>120</v>
      </c>
      <c r="E74" s="9">
        <v>13</v>
      </c>
      <c r="F74" s="17">
        <v>0.1123</v>
      </c>
      <c r="G74" s="9">
        <v>17000</v>
      </c>
      <c r="H74" s="3">
        <v>2.21</v>
      </c>
      <c r="I74" s="27">
        <v>0.33</v>
      </c>
      <c r="J74" s="9">
        <v>4300</v>
      </c>
    </row>
    <row r="75" spans="1:10" ht="18.75" customHeight="1" x14ac:dyDescent="0.3">
      <c r="A75" s="24" t="s">
        <v>80</v>
      </c>
      <c r="B75" s="18" t="s">
        <v>34</v>
      </c>
      <c r="C75" s="16" t="s">
        <v>70</v>
      </c>
      <c r="D75" s="10">
        <v>106</v>
      </c>
      <c r="E75" s="10">
        <v>6</v>
      </c>
      <c r="F75" s="19">
        <v>5.6399999999999999E-2</v>
      </c>
      <c r="G75" s="10">
        <v>17000</v>
      </c>
      <c r="H75" s="6">
        <v>1.02</v>
      </c>
      <c r="I75" s="28">
        <v>0.17</v>
      </c>
      <c r="J75" s="10">
        <v>4700</v>
      </c>
    </row>
    <row r="76" spans="1:10" ht="18.75" customHeight="1" x14ac:dyDescent="0.3">
      <c r="A76" s="24" t="s">
        <v>80</v>
      </c>
      <c r="B76" s="15" t="s">
        <v>35</v>
      </c>
      <c r="C76" s="16" t="s">
        <v>70</v>
      </c>
      <c r="D76" s="9">
        <v>101</v>
      </c>
      <c r="E76" s="9">
        <v>12</v>
      </c>
      <c r="F76" s="17">
        <v>0.12</v>
      </c>
      <c r="G76" s="9">
        <v>17000</v>
      </c>
      <c r="H76" s="3">
        <v>2.04</v>
      </c>
      <c r="I76" s="27">
        <v>0.25</v>
      </c>
      <c r="J76" s="9">
        <v>4200</v>
      </c>
    </row>
    <row r="77" spans="1:10" ht="18.75" customHeight="1" x14ac:dyDescent="0.3">
      <c r="A77" s="24" t="s">
        <v>80</v>
      </c>
      <c r="B77" s="18" t="s">
        <v>36</v>
      </c>
      <c r="C77" s="16" t="s">
        <v>70</v>
      </c>
      <c r="D77" s="10">
        <v>121</v>
      </c>
      <c r="E77" s="10">
        <v>13</v>
      </c>
      <c r="F77" s="19">
        <v>0.10340000000000001</v>
      </c>
      <c r="G77" s="10">
        <v>17000</v>
      </c>
      <c r="H77" s="6">
        <v>2.21</v>
      </c>
      <c r="I77" s="28">
        <v>0.31</v>
      </c>
      <c r="J77" s="10">
        <v>3400</v>
      </c>
    </row>
    <row r="78" spans="1:10" ht="18.75" customHeight="1" x14ac:dyDescent="0.3">
      <c r="A78" s="24" t="s">
        <v>80</v>
      </c>
      <c r="B78" s="15" t="s">
        <v>37</v>
      </c>
      <c r="C78" s="16" t="s">
        <v>70</v>
      </c>
      <c r="D78" s="9">
        <v>532</v>
      </c>
      <c r="E78" s="9">
        <v>61</v>
      </c>
      <c r="F78" s="17">
        <v>0.11409999999999999</v>
      </c>
      <c r="G78" s="9">
        <v>17000</v>
      </c>
      <c r="H78" s="3">
        <v>10.37</v>
      </c>
      <c r="I78" s="27">
        <v>1.52</v>
      </c>
      <c r="J78" s="9">
        <v>3400</v>
      </c>
    </row>
    <row r="79" spans="1:10" ht="18.75" customHeight="1" x14ac:dyDescent="0.3">
      <c r="A79" s="24" t="s">
        <v>80</v>
      </c>
      <c r="B79" s="18" t="s">
        <v>38</v>
      </c>
      <c r="C79" s="16" t="s">
        <v>70</v>
      </c>
      <c r="D79" s="10">
        <v>583</v>
      </c>
      <c r="E79" s="10">
        <v>69</v>
      </c>
      <c r="F79" s="19">
        <v>0.1178</v>
      </c>
      <c r="G79" s="10">
        <v>17000</v>
      </c>
      <c r="H79" s="6">
        <v>11.73</v>
      </c>
      <c r="I79" s="28">
        <v>1.56</v>
      </c>
      <c r="J79" s="10">
        <v>3900</v>
      </c>
    </row>
    <row r="80" spans="1:10" ht="18.75" customHeight="1" x14ac:dyDescent="0.3">
      <c r="A80" s="25" t="s">
        <v>81</v>
      </c>
      <c r="B80" s="15" t="s">
        <v>37</v>
      </c>
      <c r="C80" s="16" t="s">
        <v>70</v>
      </c>
      <c r="D80" s="9">
        <v>408</v>
      </c>
      <c r="E80" s="9">
        <v>40</v>
      </c>
      <c r="F80" s="17">
        <v>9.69E-2</v>
      </c>
      <c r="G80" s="9">
        <v>14000</v>
      </c>
      <c r="H80" s="3">
        <v>5.6</v>
      </c>
      <c r="I80" s="27">
        <v>0.71</v>
      </c>
      <c r="J80" s="9">
        <v>3700</v>
      </c>
    </row>
    <row r="81" spans="1:10" ht="18.75" customHeight="1" x14ac:dyDescent="0.3">
      <c r="A81" s="25" t="s">
        <v>81</v>
      </c>
      <c r="B81" s="18" t="s">
        <v>37</v>
      </c>
      <c r="C81" s="20" t="s">
        <v>53</v>
      </c>
      <c r="D81" s="10">
        <v>587</v>
      </c>
      <c r="E81" s="10">
        <v>41</v>
      </c>
      <c r="F81" s="19">
        <v>7.0199999999999999E-2</v>
      </c>
      <c r="G81" s="10">
        <v>14000</v>
      </c>
      <c r="H81" s="6">
        <v>5.74</v>
      </c>
      <c r="I81" s="28">
        <v>0.95</v>
      </c>
      <c r="J81" s="10">
        <v>3800</v>
      </c>
    </row>
    <row r="82" spans="1:10" ht="18.75" customHeight="1" x14ac:dyDescent="0.3">
      <c r="A82" s="25" t="s">
        <v>81</v>
      </c>
      <c r="B82" s="15" t="s">
        <v>38</v>
      </c>
      <c r="C82" s="16" t="s">
        <v>70</v>
      </c>
      <c r="D82" s="9">
        <v>117</v>
      </c>
      <c r="E82" s="9">
        <v>10</v>
      </c>
      <c r="F82" s="17">
        <v>8.1799999999999998E-2</v>
      </c>
      <c r="G82" s="9">
        <v>14000</v>
      </c>
      <c r="H82" s="3">
        <v>1.4</v>
      </c>
      <c r="I82" s="27">
        <v>0.18</v>
      </c>
      <c r="J82" s="9">
        <v>3000</v>
      </c>
    </row>
    <row r="83" spans="1:10" ht="18.75" customHeight="1" x14ac:dyDescent="0.3">
      <c r="A83" s="25" t="s">
        <v>81</v>
      </c>
      <c r="B83" s="18" t="s">
        <v>38</v>
      </c>
      <c r="C83" s="20" t="s">
        <v>53</v>
      </c>
      <c r="D83" s="10">
        <v>493</v>
      </c>
      <c r="E83" s="10">
        <v>54</v>
      </c>
      <c r="F83" s="19">
        <v>0.1105</v>
      </c>
      <c r="G83" s="10">
        <v>14000</v>
      </c>
      <c r="H83" s="6">
        <v>7.56</v>
      </c>
      <c r="I83" s="28">
        <v>0.76</v>
      </c>
      <c r="J83" s="10">
        <v>3700</v>
      </c>
    </row>
    <row r="84" spans="1:10" ht="18.75" customHeight="1" x14ac:dyDescent="0.3">
      <c r="A84" s="25" t="s">
        <v>81</v>
      </c>
      <c r="B84" s="15" t="s">
        <v>39</v>
      </c>
      <c r="C84" s="16" t="s">
        <v>70</v>
      </c>
      <c r="D84" s="9">
        <v>553</v>
      </c>
      <c r="E84" s="9">
        <v>44</v>
      </c>
      <c r="F84" s="17">
        <v>7.8899999999999998E-2</v>
      </c>
      <c r="G84" s="9">
        <v>14000</v>
      </c>
      <c r="H84" s="3">
        <v>6.16</v>
      </c>
      <c r="I84" s="27">
        <v>0.79</v>
      </c>
      <c r="J84" s="9">
        <v>2800</v>
      </c>
    </row>
    <row r="85" spans="1:10" ht="18.75" customHeight="1" x14ac:dyDescent="0.3">
      <c r="A85" s="25" t="s">
        <v>81</v>
      </c>
      <c r="B85" s="18" t="s">
        <v>39</v>
      </c>
      <c r="C85" s="20" t="s">
        <v>53</v>
      </c>
      <c r="D85" s="10">
        <v>590</v>
      </c>
      <c r="E85" s="10">
        <v>55</v>
      </c>
      <c r="F85" s="19">
        <v>9.3799999999999994E-2</v>
      </c>
      <c r="G85" s="10">
        <v>14000</v>
      </c>
      <c r="H85" s="6">
        <v>7.7</v>
      </c>
      <c r="I85" s="28">
        <v>0.9</v>
      </c>
      <c r="J85" s="10">
        <v>3600</v>
      </c>
    </row>
    <row r="86" spans="1:10" ht="18.75" customHeight="1" x14ac:dyDescent="0.3">
      <c r="A86" s="25" t="s">
        <v>81</v>
      </c>
      <c r="B86" s="15" t="s">
        <v>40</v>
      </c>
      <c r="C86" s="16" t="s">
        <v>70</v>
      </c>
      <c r="D86" s="9">
        <v>214</v>
      </c>
      <c r="E86" s="9">
        <v>25</v>
      </c>
      <c r="F86" s="17">
        <v>0.1149</v>
      </c>
      <c r="G86" s="9">
        <v>14000</v>
      </c>
      <c r="H86" s="3">
        <v>3.5</v>
      </c>
      <c r="I86" s="27">
        <v>0.55000000000000004</v>
      </c>
      <c r="J86" s="9">
        <v>3100</v>
      </c>
    </row>
    <row r="87" spans="1:10" ht="18.75" customHeight="1" x14ac:dyDescent="0.3">
      <c r="A87" s="25" t="s">
        <v>81</v>
      </c>
      <c r="B87" s="18" t="s">
        <v>40</v>
      </c>
      <c r="C87" s="20" t="s">
        <v>53</v>
      </c>
      <c r="D87" s="10">
        <v>204</v>
      </c>
      <c r="E87" s="10">
        <v>11</v>
      </c>
      <c r="F87" s="19">
        <v>5.1999999999999998E-2</v>
      </c>
      <c r="G87" s="10">
        <v>14000</v>
      </c>
      <c r="H87" s="6">
        <v>1.54</v>
      </c>
      <c r="I87" s="28">
        <v>0.25</v>
      </c>
      <c r="J87" s="10">
        <v>3400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Realized Revenue</vt:lpstr>
      <vt:lpstr>Monthly Revenue</vt:lpstr>
      <vt:lpstr>AOV Cleaned</vt:lpstr>
      <vt:lpstr>YT + ADS Overall Data</vt:lpstr>
      <vt:lpstr>Cleaned CAC</vt:lpstr>
      <vt:lpstr>Course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rosalintcelcia87@outlook.com</cp:lastModifiedBy>
  <cp:revision>0</cp:revision>
  <dcterms:created xsi:type="dcterms:W3CDTF">2026-06-29T06:09:58Z</dcterms:created>
  <dcterms:modified xsi:type="dcterms:W3CDTF">2026-09-09T06:29:06Z</dcterms:modified>
  <dc:language>en-US</dc:language>
</cp:coreProperties>
</file>